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\Downloads\"/>
    </mc:Choice>
  </mc:AlternateContent>
  <xr:revisionPtr revIDLastSave="0" documentId="13_ncr:1_{719A9A09-4960-4072-858E-81F54352CCFC}" xr6:coauthVersionLast="47" xr6:coauthVersionMax="47" xr10:uidLastSave="{00000000-0000-0000-0000-000000000000}"/>
  <bookViews>
    <workbookView xWindow="-110" yWindow="-110" windowWidth="19420" windowHeight="11500" xr2:uid="{F969475E-069B-4070-BBF9-E3817F4C99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6" i="1"/>
  <c r="C7" i="1"/>
  <c r="C5" i="1"/>
  <c r="C4" i="1"/>
  <c r="C3" i="1"/>
</calcChain>
</file>

<file path=xl/sharedStrings.xml><?xml version="1.0" encoding="utf-8"?>
<sst xmlns="http://schemas.openxmlformats.org/spreadsheetml/2006/main" count="296" uniqueCount="45">
  <si>
    <t>Employee Number</t>
  </si>
  <si>
    <t>CTC (per annum)</t>
  </si>
  <si>
    <t>Basic</t>
  </si>
  <si>
    <t>House Rent Allowance</t>
  </si>
  <si>
    <t>Conveyance Allowance</t>
  </si>
  <si>
    <t>Children Education Allowance</t>
  </si>
  <si>
    <t>Hostel Expenditure Allowance</t>
  </si>
  <si>
    <t>Transport Allowance</t>
  </si>
  <si>
    <t>Helper Allowance</t>
  </si>
  <si>
    <t>Travelling Allowance</t>
  </si>
  <si>
    <t>Uniform Allowance</t>
  </si>
  <si>
    <t>Daily Allowance</t>
  </si>
  <si>
    <t>City Compensatory Allowance</t>
  </si>
  <si>
    <t>Overtime Allowance</t>
  </si>
  <si>
    <t>Telephone Allowance</t>
  </si>
  <si>
    <t>Fixed Medical Allowance</t>
  </si>
  <si>
    <t>Project Allowance</t>
  </si>
  <si>
    <t>Food Allowance</t>
  </si>
  <si>
    <t>Holiday Allowance</t>
  </si>
  <si>
    <t>Entertainment Allowance</t>
  </si>
  <si>
    <t>Fixed Allowance</t>
  </si>
  <si>
    <t>Fuel Reimbursement</t>
  </si>
  <si>
    <t>Fuel Reimbursement Is Enabled</t>
  </si>
  <si>
    <t>Fuel Reimbursement Max Amount</t>
  </si>
  <si>
    <t>Driver Reimbursement</t>
  </si>
  <si>
    <t>Telephone Reimbursement</t>
  </si>
  <si>
    <t>Leave Travel Allowance</t>
  </si>
  <si>
    <t>Leave Travel Allowance Is Enabled</t>
  </si>
  <si>
    <t>Leave Travel Allowance Max Amount</t>
  </si>
  <si>
    <t>Leave Travel Allowance Carry Forward Option</t>
  </si>
  <si>
    <t>Bonus</t>
  </si>
  <si>
    <t>Bonus payment month</t>
  </si>
  <si>
    <t>Salary Template Name</t>
  </si>
  <si>
    <t>Employee Name</t>
  </si>
  <si>
    <t>Jijesh</t>
  </si>
  <si>
    <t>Beena</t>
  </si>
  <si>
    <t>Santosh</t>
  </si>
  <si>
    <t>Jojo</t>
  </si>
  <si>
    <t>Prafull</t>
  </si>
  <si>
    <t>Mahesh</t>
  </si>
  <si>
    <t>Vimin</t>
  </si>
  <si>
    <t>Vincent</t>
  </si>
  <si>
    <t>Kishore</t>
  </si>
  <si>
    <t>Dearness/Other Allowance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</si>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</sst>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1C1D1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9" fontId="3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C78D-786A-4F89-B43E-51C767A9E314}">
  <dimension ref="A1:AI10"/>
  <sheetViews>
    <sheetView tabSelected="1" workbookViewId="0">
      <selection activeCell="F12" sqref="F12"/>
    </sheetView>
  </sheetViews>
  <sheetFormatPr defaultRowHeight="14.5" x14ac:dyDescent="0.35"/>
  <cols>
    <col min="1" max="1" width="15.54296875" bestFit="1" customWidth="1"/>
    <col min="2" max="2" width="15.54296875" customWidth="1"/>
    <col min="3" max="3" width="14.7265625" bestFit="1" customWidth="1"/>
    <col min="4" max="4" width="5.1796875" bestFit="1" customWidth="1"/>
    <col min="5" max="5" width="18.90625" bestFit="1" customWidth="1"/>
    <col min="6" max="6" width="22.453125" bestFit="1" customWidth="1"/>
    <col min="7" max="7" width="19.36328125" bestFit="1" customWidth="1"/>
    <col min="8" max="8" width="24.54296875" bestFit="1" customWidth="1"/>
    <col min="9" max="9" width="24.6328125" bestFit="1" customWidth="1"/>
    <col min="10" max="10" width="17.36328125" bestFit="1" customWidth="1"/>
    <col min="11" max="11" width="14.7265625" bestFit="1" customWidth="1"/>
    <col min="12" max="12" width="17.1796875" bestFit="1" customWidth="1"/>
    <col min="13" max="13" width="15.6328125" bestFit="1" customWidth="1"/>
    <col min="14" max="14" width="13.453125" bestFit="1" customWidth="1"/>
    <col min="15" max="15" width="25" bestFit="1" customWidth="1"/>
    <col min="16" max="16" width="16.81640625" bestFit="1" customWidth="1"/>
    <col min="17" max="17" width="17.90625" bestFit="1" customWidth="1"/>
    <col min="18" max="18" width="20.6328125" bestFit="1" customWidth="1"/>
    <col min="19" max="19" width="15.1796875" bestFit="1" customWidth="1"/>
    <col min="20" max="20" width="13.6328125" bestFit="1" customWidth="1"/>
    <col min="21" max="21" width="15.36328125" bestFit="1" customWidth="1"/>
    <col min="22" max="22" width="20.6328125" bestFit="1" customWidth="1"/>
    <col min="23" max="23" width="13.81640625" bestFit="1" customWidth="1"/>
    <col min="24" max="24" width="17.36328125" bestFit="1" customWidth="1"/>
    <col min="25" max="25" width="26.54296875" bestFit="1" customWidth="1"/>
    <col min="26" max="26" width="28" bestFit="1" customWidth="1"/>
    <col min="27" max="27" width="18.7265625" bestFit="1" customWidth="1"/>
    <col min="28" max="28" width="22.36328125" bestFit="1" customWidth="1"/>
    <col min="29" max="29" width="19.90625" bestFit="1" customWidth="1"/>
    <col min="30" max="30" width="29.08984375" bestFit="1" customWidth="1"/>
    <col min="31" max="31" width="30.6328125" bestFit="1" customWidth="1"/>
    <col min="32" max="32" width="38.453125" bestFit="1" customWidth="1"/>
    <col min="33" max="33" width="6.81640625" bestFit="1" customWidth="1"/>
    <col min="34" max="34" width="18.6328125" bestFit="1" customWidth="1"/>
    <col min="35" max="35" width="19.26953125" bestFit="1" customWidth="1"/>
  </cols>
  <sheetData>
    <row r="1" spans="1:35" s="1" customFormat="1" ht="13.5" thickBot="1" x14ac:dyDescent="0.35">
      <c r="A1" s="2" t="s">
        <v>0</v>
      </c>
      <c r="B1" s="2" t="s">
        <v>33</v>
      </c>
      <c r="C1" s="2" t="s">
        <v>1</v>
      </c>
      <c r="D1" s="2" t="s">
        <v>2</v>
      </c>
      <c r="E1" s="2" t="s">
        <v>3</v>
      </c>
      <c r="F1" s="2" t="s">
        <v>43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</row>
    <row r="2" spans="1:35" ht="15" thickBot="1" x14ac:dyDescent="0.4">
      <c r="A2" s="4">
        <v>1</v>
      </c>
      <c r="B2" s="2" t="s">
        <v>34</v>
      </c>
      <c r="C2" s="4">
        <v>2400000</v>
      </c>
      <c r="D2" s="3">
        <v>0.5</v>
      </c>
      <c r="E2" s="3">
        <v>0.25</v>
      </c>
      <c r="F2" s="4">
        <v>540000</v>
      </c>
      <c r="G2" s="4">
        <v>60000</v>
      </c>
      <c r="H2" t="s">
        <v>44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44</v>
      </c>
      <c r="AH2" t="s">
        <v>44</v>
      </c>
      <c r="AI2" t="s">
        <v>44</v>
      </c>
    </row>
    <row r="3" spans="1:35" ht="15" thickBot="1" x14ac:dyDescent="0.4">
      <c r="A3" s="4">
        <v>2</v>
      </c>
      <c r="B3" s="2" t="s">
        <v>35</v>
      </c>
      <c r="C3" s="4">
        <f>35000*12</f>
        <v>420000</v>
      </c>
      <c r="D3" s="3">
        <v>0.5</v>
      </c>
      <c r="E3" s="3">
        <v>0.25</v>
      </c>
      <c r="F3" s="4">
        <v>45000</v>
      </c>
      <c r="G3" s="4">
        <v>60000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</row>
    <row r="4" spans="1:35" ht="15" thickBot="1" x14ac:dyDescent="0.4">
      <c r="A4">
        <v>8</v>
      </c>
      <c r="B4" s="2" t="s">
        <v>36</v>
      </c>
      <c r="C4">
        <f>45000*12</f>
        <v>540000</v>
      </c>
      <c r="D4" s="3">
        <v>0.5</v>
      </c>
      <c r="E4" s="3">
        <v>0.25</v>
      </c>
      <c r="F4">
        <v>77400</v>
      </c>
      <c r="G4">
        <v>60000</v>
      </c>
      <c r="H4" t="s">
        <v>44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44</v>
      </c>
      <c r="AH4" t="s">
        <v>44</v>
      </c>
      <c r="AI4" t="s">
        <v>44</v>
      </c>
    </row>
    <row r="5" spans="1:35" ht="15" thickBot="1" x14ac:dyDescent="0.4">
      <c r="A5">
        <v>20</v>
      </c>
      <c r="B5" s="2" t="s">
        <v>37</v>
      </c>
      <c r="C5">
        <f>175000*12</f>
        <v>2100000</v>
      </c>
      <c r="D5" s="3">
        <v>0.5</v>
      </c>
      <c r="E5" s="3">
        <v>0.25</v>
      </c>
      <c r="F5">
        <v>467400</v>
      </c>
      <c r="G5">
        <v>60000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</row>
    <row r="6" spans="1:35" ht="15" thickBot="1" x14ac:dyDescent="0.4">
      <c r="A6">
        <v>21</v>
      </c>
      <c r="B6" s="2" t="s">
        <v>38</v>
      </c>
      <c r="C6">
        <f>51600*12</f>
        <v>619200</v>
      </c>
      <c r="D6" s="3">
        <v>0.5</v>
      </c>
      <c r="E6" s="3">
        <v>0.25</v>
      </c>
      <c r="F6">
        <v>97200</v>
      </c>
      <c r="G6">
        <v>60000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</row>
    <row r="7" spans="1:35" ht="15" thickBot="1" x14ac:dyDescent="0.4">
      <c r="A7">
        <v>11</v>
      </c>
      <c r="B7" s="2" t="s">
        <v>39</v>
      </c>
      <c r="C7">
        <f>23000*12</f>
        <v>276000</v>
      </c>
      <c r="D7" s="3">
        <v>0.5</v>
      </c>
      <c r="E7" s="3">
        <v>0.25</v>
      </c>
      <c r="F7">
        <v>11400</v>
      </c>
      <c r="G7">
        <v>60000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</row>
    <row r="8" spans="1:35" ht="15" thickBot="1" x14ac:dyDescent="0.4">
      <c r="A8">
        <v>19</v>
      </c>
      <c r="B8" s="2" t="s">
        <v>40</v>
      </c>
      <c r="C8">
        <f>26500*12</f>
        <v>318000</v>
      </c>
      <c r="D8" s="3">
        <v>0.5</v>
      </c>
      <c r="E8" s="3">
        <v>0.25</v>
      </c>
      <c r="F8">
        <v>33900</v>
      </c>
      <c r="G8">
        <v>48000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</row>
    <row r="9" spans="1:35" ht="15" thickBot="1" x14ac:dyDescent="0.4">
      <c r="A9">
        <v>22</v>
      </c>
      <c r="B9" s="2" t="s">
        <v>41</v>
      </c>
      <c r="C9">
        <f>65000*12</f>
        <v>780000</v>
      </c>
      <c r="D9" s="3">
        <v>0.5</v>
      </c>
      <c r="E9" s="3">
        <v>0.25</v>
      </c>
      <c r="F9">
        <v>135600</v>
      </c>
      <c r="G9">
        <v>60000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</row>
    <row r="10" spans="1:35" ht="15" thickBot="1" x14ac:dyDescent="0.4">
      <c r="A10">
        <v>23</v>
      </c>
      <c r="B10" s="2" t="s">
        <v>42</v>
      </c>
      <c r="C10">
        <f>41667*12</f>
        <v>500004</v>
      </c>
      <c r="D10" s="3">
        <v>0.5</v>
      </c>
      <c r="E10" s="3">
        <v>0.25</v>
      </c>
      <c r="F10">
        <v>65001</v>
      </c>
      <c r="G10">
        <v>60000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accounts@auxinshipping.com</dc:creator>
  <cp:lastModifiedBy>accounts@auxinshipping.com</cp:lastModifiedBy>
  <dcterms:created xsi:type="dcterms:W3CDTF">2024-12-10T08:10:18Z</dcterms:created>
  <dcterms:modified xsi:type="dcterms:W3CDTF">2024-12-11T09:22:15Z</dcterms:modified>
</cp:coreProperties>
</file>