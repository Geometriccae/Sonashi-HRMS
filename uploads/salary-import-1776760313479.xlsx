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ashi-my.sharepoint.com/personal/hr_sonashi_ae/Documents/Desktop/"/>
    </mc:Choice>
  </mc:AlternateContent>
  <xr:revisionPtr revIDLastSave="0" documentId="8_{4D04D656-CDEF-4D87-BB92-1AB0E6D557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2026" sheetId="19" r:id="rId2"/>
    <sheet name="2025" sheetId="18" r:id="rId3"/>
    <sheet name="2024" sheetId="17" r:id="rId4"/>
    <sheet name="2023" sheetId="16" r:id="rId5"/>
    <sheet name="2022" sheetId="15" r:id="rId6"/>
    <sheet name="2021" sheetId="14" r:id="rId7"/>
    <sheet name="2020" sheetId="13" r:id="rId8"/>
    <sheet name="2019" sheetId="12" r:id="rId9"/>
    <sheet name="2018" sheetId="10" r:id="rId10"/>
    <sheet name="2017" sheetId="9" r:id="rId11"/>
    <sheet name="2016" sheetId="8" r:id="rId12"/>
    <sheet name="2015" sheetId="7" r:id="rId13"/>
    <sheet name="2014" sheetId="6" r:id="rId14"/>
    <sheet name="2013" sheetId="5" r:id="rId15"/>
    <sheet name="2012" sheetId="4" r:id="rId16"/>
    <sheet name="2011" sheetId="3" r:id="rId17"/>
    <sheet name="2010" sheetId="2" r:id="rId18"/>
  </sheets>
  <definedNames>
    <definedName name="_xlnm._FilterDatabase" localSheetId="5" hidden="1">'2022'!$A$1:$Q$137</definedName>
    <definedName name="_xlnm._FilterDatabase" localSheetId="4" hidden="1">'2023'!$A$1:$Q$147</definedName>
    <definedName name="_xlnm._FilterDatabase" localSheetId="0" hidden="1">Sheet!$A$3:$AD$144</definedName>
  </definedNames>
  <calcPr calcId="181029"/>
</workbook>
</file>

<file path=xl/calcChain.xml><?xml version="1.0" encoding="utf-8"?>
<calcChain xmlns="http://schemas.openxmlformats.org/spreadsheetml/2006/main">
  <c r="W14" i="1" l="1"/>
  <c r="V14" i="1"/>
  <c r="V19" i="1"/>
  <c r="W5" i="1"/>
  <c r="V5" i="1"/>
  <c r="W26" i="1"/>
  <c r="W4" i="1"/>
  <c r="V4" i="1"/>
  <c r="W64" i="1"/>
  <c r="V64" i="1"/>
  <c r="W7" i="1"/>
  <c r="V7" i="1"/>
  <c r="W55" i="1"/>
  <c r="V55" i="1"/>
  <c r="W84" i="1"/>
  <c r="V84" i="1"/>
  <c r="V26" i="1" l="1"/>
  <c r="V13" i="1"/>
  <c r="W13" i="1" s="1"/>
  <c r="U12" i="1"/>
  <c r="W12" i="1" s="1"/>
  <c r="M167" i="17"/>
  <c r="K63" i="18"/>
  <c r="J63" i="18"/>
  <c r="T17" i="1"/>
  <c r="T136" i="1"/>
  <c r="U144" i="1"/>
  <c r="T63" i="1"/>
  <c r="J12" i="18"/>
  <c r="K12" i="18"/>
  <c r="J62" i="18"/>
  <c r="J64" i="18"/>
  <c r="V143" i="1"/>
  <c r="W143" i="1" s="1"/>
  <c r="X143" i="1" s="1"/>
  <c r="L133" i="19"/>
  <c r="K133" i="19"/>
  <c r="J133" i="19"/>
  <c r="M133" i="18"/>
  <c r="L133" i="18"/>
  <c r="K133" i="18"/>
  <c r="J133" i="18"/>
  <c r="W142" i="1"/>
  <c r="X142" i="1" s="1"/>
  <c r="Y142" i="1" s="1"/>
  <c r="Z143" i="1"/>
  <c r="AA143" i="1" s="1"/>
  <c r="AB142" i="1"/>
  <c r="AB143" i="1"/>
  <c r="AB144" i="1"/>
  <c r="T135" i="1"/>
  <c r="M133" i="19" l="1"/>
  <c r="Y143" i="1"/>
  <c r="L149" i="19"/>
  <c r="K149" i="19"/>
  <c r="J149" i="19"/>
  <c r="L148" i="19"/>
  <c r="K148" i="19"/>
  <c r="J148" i="19"/>
  <c r="L147" i="19"/>
  <c r="K147" i="19"/>
  <c r="J147" i="19"/>
  <c r="L146" i="19"/>
  <c r="K146" i="19"/>
  <c r="J146" i="19"/>
  <c r="L145" i="19"/>
  <c r="K145" i="19"/>
  <c r="J145" i="19"/>
  <c r="L144" i="19"/>
  <c r="K144" i="19"/>
  <c r="J144" i="19"/>
  <c r="L143" i="19"/>
  <c r="K143" i="19"/>
  <c r="J143" i="19"/>
  <c r="L142" i="19"/>
  <c r="K142" i="19"/>
  <c r="J142" i="19"/>
  <c r="L134" i="19"/>
  <c r="K134" i="19"/>
  <c r="J134" i="19"/>
  <c r="L132" i="19"/>
  <c r="K132" i="19"/>
  <c r="J132" i="19"/>
  <c r="M132" i="19" s="1"/>
  <c r="V142" i="1" s="1"/>
  <c r="L131" i="19"/>
  <c r="K131" i="19"/>
  <c r="J131" i="19"/>
  <c r="L130" i="19"/>
  <c r="K130" i="19"/>
  <c r="J130" i="19"/>
  <c r="L129" i="19"/>
  <c r="K129" i="19"/>
  <c r="J129" i="19"/>
  <c r="L128" i="19"/>
  <c r="K128" i="19"/>
  <c r="J128" i="19"/>
  <c r="M128" i="19" s="1"/>
  <c r="V138" i="1" s="1"/>
  <c r="L127" i="19"/>
  <c r="K127" i="19"/>
  <c r="J127" i="19"/>
  <c r="L126" i="19"/>
  <c r="K126" i="19"/>
  <c r="J126" i="19"/>
  <c r="L125" i="19"/>
  <c r="K125" i="19"/>
  <c r="J125" i="19"/>
  <c r="L124" i="19"/>
  <c r="K124" i="19"/>
  <c r="J124" i="19"/>
  <c r="M124" i="19" s="1"/>
  <c r="V134" i="1" s="1"/>
  <c r="L123" i="19"/>
  <c r="K123" i="19"/>
  <c r="J123" i="19"/>
  <c r="L122" i="19"/>
  <c r="K122" i="19"/>
  <c r="J122" i="19"/>
  <c r="L121" i="19"/>
  <c r="K121" i="19"/>
  <c r="J121" i="19"/>
  <c r="L120" i="19"/>
  <c r="K120" i="19"/>
  <c r="J120" i="19"/>
  <c r="L119" i="19"/>
  <c r="K119" i="19"/>
  <c r="J119" i="19"/>
  <c r="L118" i="19"/>
  <c r="K118" i="19"/>
  <c r="J118" i="19"/>
  <c r="L117" i="19"/>
  <c r="K117" i="19"/>
  <c r="J117" i="19"/>
  <c r="L116" i="19"/>
  <c r="K116" i="19"/>
  <c r="J116" i="19"/>
  <c r="L115" i="19"/>
  <c r="K115" i="19"/>
  <c r="J115" i="19"/>
  <c r="L114" i="19"/>
  <c r="K114" i="19"/>
  <c r="J114" i="19"/>
  <c r="L113" i="19"/>
  <c r="K113" i="19"/>
  <c r="J113" i="19"/>
  <c r="L112" i="19"/>
  <c r="K112" i="19"/>
  <c r="J112" i="19"/>
  <c r="L111" i="19"/>
  <c r="K111" i="19"/>
  <c r="J111" i="19"/>
  <c r="L110" i="19"/>
  <c r="K110" i="19"/>
  <c r="J110" i="19"/>
  <c r="L109" i="19"/>
  <c r="K109" i="19"/>
  <c r="J109" i="19"/>
  <c r="L108" i="19"/>
  <c r="K108" i="19"/>
  <c r="J108" i="19"/>
  <c r="L107" i="19"/>
  <c r="K107" i="19"/>
  <c r="J107" i="19"/>
  <c r="L106" i="19"/>
  <c r="K106" i="19"/>
  <c r="J106" i="19"/>
  <c r="L105" i="19"/>
  <c r="K105" i="19"/>
  <c r="J105" i="19"/>
  <c r="L104" i="19"/>
  <c r="K104" i="19"/>
  <c r="J104" i="19"/>
  <c r="L103" i="19"/>
  <c r="K103" i="19"/>
  <c r="J103" i="19"/>
  <c r="L102" i="19"/>
  <c r="K102" i="19"/>
  <c r="J102" i="19"/>
  <c r="L101" i="19"/>
  <c r="K101" i="19"/>
  <c r="J101" i="19"/>
  <c r="L100" i="19"/>
  <c r="K100" i="19"/>
  <c r="J100" i="19"/>
  <c r="L99" i="19"/>
  <c r="K99" i="19"/>
  <c r="J99" i="19"/>
  <c r="L98" i="19"/>
  <c r="K98" i="19"/>
  <c r="J98" i="19"/>
  <c r="L97" i="19"/>
  <c r="K97" i="19"/>
  <c r="J97" i="19"/>
  <c r="L96" i="19"/>
  <c r="K96" i="19"/>
  <c r="J96" i="19"/>
  <c r="L95" i="19"/>
  <c r="K95" i="19"/>
  <c r="J95" i="19"/>
  <c r="L94" i="19"/>
  <c r="K94" i="19"/>
  <c r="J94" i="19"/>
  <c r="L93" i="19"/>
  <c r="K93" i="19"/>
  <c r="J93" i="19"/>
  <c r="L92" i="19"/>
  <c r="K92" i="19"/>
  <c r="L91" i="19"/>
  <c r="K91" i="19"/>
  <c r="J91" i="19"/>
  <c r="L90" i="19"/>
  <c r="K90" i="19"/>
  <c r="J90" i="19"/>
  <c r="L89" i="19"/>
  <c r="K89" i="19"/>
  <c r="J89" i="19"/>
  <c r="L88" i="19"/>
  <c r="K88" i="19"/>
  <c r="J88" i="19"/>
  <c r="L87" i="19"/>
  <c r="K87" i="19"/>
  <c r="J87" i="19"/>
  <c r="L86" i="19"/>
  <c r="K86" i="19"/>
  <c r="M86" i="19" s="1"/>
  <c r="J86" i="19"/>
  <c r="L85" i="19"/>
  <c r="K85" i="19"/>
  <c r="J85" i="19"/>
  <c r="L84" i="19"/>
  <c r="K84" i="19"/>
  <c r="J84" i="19"/>
  <c r="L83" i="19"/>
  <c r="K83" i="19"/>
  <c r="J83" i="19"/>
  <c r="L82" i="19"/>
  <c r="K82" i="19"/>
  <c r="J82" i="19"/>
  <c r="L81" i="19"/>
  <c r="K81" i="19"/>
  <c r="J81" i="19"/>
  <c r="L80" i="19"/>
  <c r="K80" i="19"/>
  <c r="J80" i="19"/>
  <c r="L79" i="19"/>
  <c r="K79" i="19"/>
  <c r="J79" i="19"/>
  <c r="L78" i="19"/>
  <c r="K78" i="19"/>
  <c r="J78" i="19"/>
  <c r="L77" i="19"/>
  <c r="K77" i="19"/>
  <c r="J77" i="19"/>
  <c r="L76" i="19"/>
  <c r="K76" i="19"/>
  <c r="J76" i="19"/>
  <c r="L75" i="19"/>
  <c r="K75" i="19"/>
  <c r="J75" i="19"/>
  <c r="L74" i="19"/>
  <c r="K74" i="19"/>
  <c r="J74" i="19"/>
  <c r="L73" i="19"/>
  <c r="K73" i="19"/>
  <c r="J73" i="19"/>
  <c r="L72" i="19"/>
  <c r="K72" i="19"/>
  <c r="J72" i="19"/>
  <c r="L71" i="19"/>
  <c r="K71" i="19"/>
  <c r="J71" i="19"/>
  <c r="L70" i="19"/>
  <c r="K70" i="19"/>
  <c r="J70" i="19"/>
  <c r="L69" i="19"/>
  <c r="K69" i="19"/>
  <c r="J69" i="19"/>
  <c r="L68" i="19"/>
  <c r="K68" i="19"/>
  <c r="J68" i="19"/>
  <c r="L67" i="19"/>
  <c r="K67" i="19"/>
  <c r="J67" i="19"/>
  <c r="L66" i="19"/>
  <c r="K66" i="19"/>
  <c r="J66" i="19"/>
  <c r="L65" i="19"/>
  <c r="K65" i="19"/>
  <c r="J65" i="19"/>
  <c r="L64" i="19"/>
  <c r="K64" i="19"/>
  <c r="J64" i="19"/>
  <c r="L63" i="19"/>
  <c r="K63" i="19"/>
  <c r="J63" i="19"/>
  <c r="L62" i="19"/>
  <c r="K62" i="19"/>
  <c r="L61" i="19"/>
  <c r="K61" i="19"/>
  <c r="J61" i="19"/>
  <c r="L60" i="19"/>
  <c r="K60" i="19"/>
  <c r="J60" i="19"/>
  <c r="L59" i="19"/>
  <c r="K59" i="19"/>
  <c r="J59" i="19"/>
  <c r="L58" i="19"/>
  <c r="K58" i="19"/>
  <c r="J58" i="19"/>
  <c r="L57" i="19"/>
  <c r="K57" i="19"/>
  <c r="J57" i="19"/>
  <c r="L56" i="19"/>
  <c r="K56" i="19"/>
  <c r="J56" i="19"/>
  <c r="L55" i="19"/>
  <c r="K55" i="19"/>
  <c r="J55" i="19"/>
  <c r="L54" i="19"/>
  <c r="K54" i="19"/>
  <c r="J54" i="19"/>
  <c r="L53" i="19"/>
  <c r="K53" i="19"/>
  <c r="J53" i="19"/>
  <c r="L52" i="19"/>
  <c r="K52" i="19"/>
  <c r="J52" i="19"/>
  <c r="L51" i="19"/>
  <c r="K51" i="19"/>
  <c r="J51" i="19"/>
  <c r="L50" i="19"/>
  <c r="K50" i="19"/>
  <c r="J50" i="19"/>
  <c r="L49" i="19"/>
  <c r="K49" i="19"/>
  <c r="J49" i="19"/>
  <c r="L48" i="19"/>
  <c r="K48" i="19"/>
  <c r="J48" i="19"/>
  <c r="L47" i="19"/>
  <c r="K47" i="19"/>
  <c r="J47" i="19"/>
  <c r="L46" i="19"/>
  <c r="K46" i="19"/>
  <c r="J46" i="19"/>
  <c r="L45" i="19"/>
  <c r="K45" i="19"/>
  <c r="J45" i="19"/>
  <c r="L44" i="19"/>
  <c r="K44" i="19"/>
  <c r="J44" i="19"/>
  <c r="L43" i="19"/>
  <c r="K43" i="19"/>
  <c r="J43" i="19"/>
  <c r="L42" i="19"/>
  <c r="K42" i="19"/>
  <c r="J42" i="19"/>
  <c r="L41" i="19"/>
  <c r="K41" i="19"/>
  <c r="J41" i="19"/>
  <c r="L40" i="19"/>
  <c r="K40" i="19"/>
  <c r="J40" i="19"/>
  <c r="L39" i="19"/>
  <c r="K39" i="19"/>
  <c r="J39" i="19"/>
  <c r="L38" i="19"/>
  <c r="K38" i="19"/>
  <c r="J38" i="19"/>
  <c r="L37" i="19"/>
  <c r="K37" i="19"/>
  <c r="J37" i="19"/>
  <c r="L36" i="19"/>
  <c r="K36" i="19"/>
  <c r="J36" i="19"/>
  <c r="L35" i="19"/>
  <c r="K35" i="19"/>
  <c r="J35" i="19"/>
  <c r="L34" i="19"/>
  <c r="K34" i="19"/>
  <c r="J34" i="19"/>
  <c r="L33" i="19"/>
  <c r="K33" i="19"/>
  <c r="J33" i="19"/>
  <c r="L32" i="19"/>
  <c r="K32" i="19"/>
  <c r="J32" i="19"/>
  <c r="L31" i="19"/>
  <c r="K31" i="19"/>
  <c r="J31" i="19"/>
  <c r="L30" i="19"/>
  <c r="K30" i="19"/>
  <c r="J30" i="19"/>
  <c r="L29" i="19"/>
  <c r="K29" i="19"/>
  <c r="J29" i="19"/>
  <c r="L28" i="19"/>
  <c r="K28" i="19"/>
  <c r="J28" i="19"/>
  <c r="L27" i="19"/>
  <c r="K27" i="19"/>
  <c r="J27" i="19"/>
  <c r="L26" i="19"/>
  <c r="K26" i="19"/>
  <c r="J26" i="19"/>
  <c r="L25" i="19"/>
  <c r="K25" i="19"/>
  <c r="J25" i="19"/>
  <c r="L24" i="19"/>
  <c r="K24" i="19"/>
  <c r="J24" i="19"/>
  <c r="L23" i="19"/>
  <c r="K23" i="19"/>
  <c r="J23" i="19"/>
  <c r="L22" i="19"/>
  <c r="K22" i="19"/>
  <c r="J22" i="19"/>
  <c r="L21" i="19"/>
  <c r="K21" i="19"/>
  <c r="J21" i="19"/>
  <c r="L20" i="19"/>
  <c r="K20" i="19"/>
  <c r="J20" i="19"/>
  <c r="L19" i="19"/>
  <c r="K19" i="19"/>
  <c r="J19" i="19"/>
  <c r="L18" i="19"/>
  <c r="K18" i="19"/>
  <c r="J18" i="19"/>
  <c r="L17" i="19"/>
  <c r="K17" i="19"/>
  <c r="J17" i="19"/>
  <c r="L16" i="19"/>
  <c r="K16" i="19"/>
  <c r="J16" i="19"/>
  <c r="L15" i="19"/>
  <c r="K15" i="19"/>
  <c r="J15" i="19"/>
  <c r="L14" i="19"/>
  <c r="K14" i="19"/>
  <c r="J14" i="19"/>
  <c r="L13" i="19"/>
  <c r="K13" i="19"/>
  <c r="J13" i="19"/>
  <c r="L12" i="19"/>
  <c r="K12" i="19"/>
  <c r="J12" i="19"/>
  <c r="L11" i="19"/>
  <c r="K11" i="19"/>
  <c r="J11" i="19"/>
  <c r="L10" i="19"/>
  <c r="K10" i="19"/>
  <c r="J10" i="19"/>
  <c r="L9" i="19"/>
  <c r="K9" i="19"/>
  <c r="J9" i="19"/>
  <c r="L8" i="19"/>
  <c r="K8" i="19"/>
  <c r="J8" i="19"/>
  <c r="L7" i="19"/>
  <c r="K7" i="19"/>
  <c r="J7" i="19"/>
  <c r="L6" i="19"/>
  <c r="K6" i="19"/>
  <c r="J6" i="19"/>
  <c r="L5" i="19"/>
  <c r="K5" i="19"/>
  <c r="J5" i="19"/>
  <c r="L4" i="19"/>
  <c r="K4" i="19"/>
  <c r="J4" i="19"/>
  <c r="L3" i="19"/>
  <c r="K3" i="19"/>
  <c r="J3" i="19"/>
  <c r="L2" i="19"/>
  <c r="K2" i="19"/>
  <c r="J2" i="19"/>
  <c r="M127" i="19" l="1"/>
  <c r="V137" i="1" s="1"/>
  <c r="M131" i="19"/>
  <c r="V141" i="1" s="1"/>
  <c r="M4" i="19"/>
  <c r="M8" i="19"/>
  <c r="M12" i="19"/>
  <c r="M16" i="19"/>
  <c r="M20" i="19"/>
  <c r="M24" i="19"/>
  <c r="M28" i="19"/>
  <c r="M32" i="19"/>
  <c r="M36" i="19"/>
  <c r="M40" i="19"/>
  <c r="M44" i="19"/>
  <c r="M48" i="19"/>
  <c r="M52" i="19"/>
  <c r="M56" i="19"/>
  <c r="M60" i="19"/>
  <c r="M83" i="19"/>
  <c r="M94" i="19"/>
  <c r="M98" i="19"/>
  <c r="M102" i="19"/>
  <c r="M106" i="19"/>
  <c r="M110" i="19"/>
  <c r="M114" i="19"/>
  <c r="M118" i="19"/>
  <c r="M122" i="19"/>
  <c r="M126" i="19"/>
  <c r="V136" i="1" s="1"/>
  <c r="M130" i="19"/>
  <c r="V140" i="1" s="1"/>
  <c r="M142" i="19"/>
  <c r="M146" i="19"/>
  <c r="M125" i="19"/>
  <c r="V135" i="1" s="1"/>
  <c r="M129" i="19"/>
  <c r="V139" i="1" s="1"/>
  <c r="M149" i="19"/>
  <c r="M3" i="19"/>
  <c r="M7" i="19"/>
  <c r="M11" i="19"/>
  <c r="M15" i="19"/>
  <c r="M19" i="19"/>
  <c r="M23" i="19"/>
  <c r="M27" i="19"/>
  <c r="M31" i="19"/>
  <c r="M35" i="19"/>
  <c r="M39" i="19"/>
  <c r="M43" i="19"/>
  <c r="M47" i="19"/>
  <c r="M51" i="19"/>
  <c r="M55" i="19"/>
  <c r="M59" i="19"/>
  <c r="M93" i="19"/>
  <c r="M97" i="19"/>
  <c r="M101" i="19"/>
  <c r="M105" i="19"/>
  <c r="M109" i="19"/>
  <c r="M113" i="19"/>
  <c r="M117" i="19"/>
  <c r="M121" i="19"/>
  <c r="M134" i="19"/>
  <c r="M145" i="19"/>
  <c r="M2" i="19"/>
  <c r="M6" i="19"/>
  <c r="M10" i="19"/>
  <c r="M14" i="19"/>
  <c r="M18" i="19"/>
  <c r="M22" i="19"/>
  <c r="M26" i="19"/>
  <c r="M30" i="19"/>
  <c r="M34" i="19"/>
  <c r="M38" i="19"/>
  <c r="M42" i="19"/>
  <c r="M46" i="19"/>
  <c r="M50" i="19"/>
  <c r="M54" i="19"/>
  <c r="M58" i="19"/>
  <c r="M96" i="19"/>
  <c r="M100" i="19"/>
  <c r="M104" i="19"/>
  <c r="M108" i="19"/>
  <c r="M112" i="19"/>
  <c r="M116" i="19"/>
  <c r="M120" i="19"/>
  <c r="M144" i="19"/>
  <c r="M148" i="19"/>
  <c r="M5" i="19"/>
  <c r="M9" i="19"/>
  <c r="M13" i="19"/>
  <c r="M17" i="19"/>
  <c r="M21" i="19"/>
  <c r="M25" i="19"/>
  <c r="M29" i="19"/>
  <c r="M33" i="19"/>
  <c r="M37" i="19"/>
  <c r="M41" i="19"/>
  <c r="M45" i="19"/>
  <c r="M49" i="19"/>
  <c r="M53" i="19"/>
  <c r="M57" i="19"/>
  <c r="M61" i="19"/>
  <c r="M64" i="19"/>
  <c r="M68" i="19"/>
  <c r="M72" i="19"/>
  <c r="M76" i="19"/>
  <c r="M80" i="19"/>
  <c r="M84" i="19"/>
  <c r="M95" i="19"/>
  <c r="M99" i="19"/>
  <c r="M103" i="19"/>
  <c r="M107" i="19"/>
  <c r="M111" i="19"/>
  <c r="M115" i="19"/>
  <c r="M119" i="19"/>
  <c r="M123" i="19"/>
  <c r="V133" i="1" s="1"/>
  <c r="M143" i="19"/>
  <c r="M147" i="19"/>
  <c r="M88" i="19"/>
  <c r="M90" i="19"/>
  <c r="M63" i="19"/>
  <c r="M67" i="19"/>
  <c r="M71" i="19"/>
  <c r="M75" i="19"/>
  <c r="M79" i="19"/>
  <c r="M91" i="19"/>
  <c r="M66" i="19"/>
  <c r="M70" i="19"/>
  <c r="M74" i="19"/>
  <c r="M78" i="19"/>
  <c r="M82" i="19"/>
  <c r="M87" i="19"/>
  <c r="M65" i="19"/>
  <c r="M69" i="19"/>
  <c r="M73" i="19"/>
  <c r="M77" i="19"/>
  <c r="V85" i="1" s="1"/>
  <c r="M81" i="19"/>
  <c r="M85" i="19"/>
  <c r="M89" i="19"/>
  <c r="W36" i="1"/>
  <c r="W50" i="1"/>
  <c r="X50" i="1" s="1"/>
  <c r="Z31" i="1" l="1"/>
  <c r="AA31" i="1" s="1"/>
  <c r="K202" i="17"/>
  <c r="L202" i="17"/>
  <c r="M202" i="17"/>
  <c r="N202" i="17"/>
  <c r="W27" i="1"/>
  <c r="AB13" i="1" l="1"/>
  <c r="L134" i="18" l="1"/>
  <c r="K134" i="18"/>
  <c r="J134" i="18"/>
  <c r="M134" i="18" l="1"/>
  <c r="AB48" i="1"/>
  <c r="W44" i="1"/>
  <c r="X44" i="1" s="1"/>
  <c r="AA176" i="17" l="1"/>
  <c r="AB176" i="17" s="1"/>
  <c r="AC176" i="17"/>
  <c r="AA177" i="17"/>
  <c r="AB177" i="17" s="1"/>
  <c r="AC177" i="17"/>
  <c r="AA178" i="17"/>
  <c r="AB178" i="17" s="1"/>
  <c r="AC178" i="17"/>
  <c r="AA179" i="17"/>
  <c r="AB179" i="17" s="1"/>
  <c r="AC179" i="17"/>
  <c r="AA180" i="17"/>
  <c r="AB180" i="17" s="1"/>
  <c r="AC180" i="17"/>
  <c r="AA181" i="17"/>
  <c r="AB181" i="17"/>
  <c r="AC181" i="17"/>
  <c r="L182" i="17"/>
  <c r="AA182" i="17"/>
  <c r="AB182" i="17"/>
  <c r="AC182" i="17"/>
  <c r="AA183" i="17"/>
  <c r="AB183" i="17" s="1"/>
  <c r="AC183" i="17"/>
  <c r="N184" i="17"/>
  <c r="AA184" i="17"/>
  <c r="AB184" i="17" s="1"/>
  <c r="AC184" i="17"/>
  <c r="AA185" i="17"/>
  <c r="AB185" i="17"/>
  <c r="AC185" i="17"/>
  <c r="AA186" i="17"/>
  <c r="AB186" i="17" s="1"/>
  <c r="AC186" i="17"/>
  <c r="AA187" i="17"/>
  <c r="AB187" i="17" s="1"/>
  <c r="AC187" i="17"/>
  <c r="AA188" i="17"/>
  <c r="AB188" i="17" s="1"/>
  <c r="AC188" i="17"/>
  <c r="AA189" i="17"/>
  <c r="AB189" i="17" s="1"/>
  <c r="AC189" i="17"/>
  <c r="AA190" i="17"/>
  <c r="AB190" i="17" s="1"/>
  <c r="AC190" i="17"/>
  <c r="AA191" i="17"/>
  <c r="AB191" i="17" s="1"/>
  <c r="AC191" i="17"/>
  <c r="AA192" i="17"/>
  <c r="AB192" i="17" s="1"/>
  <c r="AC192" i="17"/>
  <c r="AA193" i="17"/>
  <c r="AB193" i="17" s="1"/>
  <c r="AC193" i="17"/>
  <c r="AA194" i="17"/>
  <c r="AB194" i="17" s="1"/>
  <c r="AC194" i="17"/>
  <c r="AA195" i="17"/>
  <c r="AB195" i="17" s="1"/>
  <c r="AC195" i="17"/>
  <c r="P196" i="17"/>
  <c r="AA196" i="17"/>
  <c r="AB196" i="17" s="1"/>
  <c r="AC196" i="17"/>
  <c r="R197" i="17"/>
  <c r="AA197" i="17"/>
  <c r="AB197" i="17" s="1"/>
  <c r="AC197" i="17"/>
  <c r="AA198" i="17"/>
  <c r="AB198" i="17" s="1"/>
  <c r="AC198" i="17"/>
  <c r="AA199" i="17"/>
  <c r="AB199" i="17" s="1"/>
  <c r="AC199" i="17"/>
  <c r="AA200" i="17"/>
  <c r="AB200" i="17" s="1"/>
  <c r="AC200" i="17"/>
  <c r="T201" i="17"/>
  <c r="U201" i="17"/>
  <c r="V201" i="17"/>
  <c r="AA201" i="17"/>
  <c r="AB201" i="17"/>
  <c r="AC201" i="17"/>
  <c r="Z128" i="1"/>
  <c r="Z7" i="1"/>
  <c r="L132" i="18"/>
  <c r="K132" i="18"/>
  <c r="J132" i="18"/>
  <c r="L131" i="18"/>
  <c r="K131" i="18"/>
  <c r="J131" i="18"/>
  <c r="L130" i="18"/>
  <c r="K130" i="18"/>
  <c r="J130" i="18"/>
  <c r="L129" i="18"/>
  <c r="K129" i="18"/>
  <c r="J129" i="18"/>
  <c r="L128" i="18"/>
  <c r="K128" i="18"/>
  <c r="J128" i="18"/>
  <c r="L127" i="18"/>
  <c r="K127" i="18"/>
  <c r="J127" i="18"/>
  <c r="L126" i="18"/>
  <c r="K126" i="18"/>
  <c r="J126" i="18"/>
  <c r="L125" i="18"/>
  <c r="K125" i="18"/>
  <c r="J125" i="18"/>
  <c r="L124" i="18"/>
  <c r="K124" i="18"/>
  <c r="J124" i="18"/>
  <c r="L123" i="18"/>
  <c r="K123" i="18"/>
  <c r="J123" i="18"/>
  <c r="L122" i="18"/>
  <c r="K122" i="18"/>
  <c r="J122" i="18"/>
  <c r="L121" i="18"/>
  <c r="K121" i="18"/>
  <c r="J121" i="18"/>
  <c r="L120" i="18"/>
  <c r="K120" i="18"/>
  <c r="J120" i="18"/>
  <c r="L119" i="18"/>
  <c r="K119" i="18"/>
  <c r="J119" i="18"/>
  <c r="L118" i="18"/>
  <c r="K118" i="18"/>
  <c r="J118" i="18"/>
  <c r="L117" i="18"/>
  <c r="K117" i="18"/>
  <c r="J117" i="18"/>
  <c r="L116" i="18"/>
  <c r="K116" i="18"/>
  <c r="J116" i="18"/>
  <c r="L115" i="18"/>
  <c r="K115" i="18"/>
  <c r="J115" i="18"/>
  <c r="L114" i="18"/>
  <c r="K114" i="18"/>
  <c r="J114" i="18"/>
  <c r="L113" i="18"/>
  <c r="K113" i="18"/>
  <c r="J113" i="18"/>
  <c r="L112" i="18"/>
  <c r="K112" i="18"/>
  <c r="J112" i="18"/>
  <c r="L111" i="18"/>
  <c r="K111" i="18"/>
  <c r="J111" i="18"/>
  <c r="L110" i="18"/>
  <c r="K110" i="18"/>
  <c r="J110" i="18"/>
  <c r="L145" i="18"/>
  <c r="K145" i="18"/>
  <c r="J145" i="18"/>
  <c r="L109" i="18"/>
  <c r="K109" i="18"/>
  <c r="J109" i="18"/>
  <c r="L108" i="18"/>
  <c r="K108" i="18"/>
  <c r="J108" i="18"/>
  <c r="L107" i="18"/>
  <c r="K107" i="18"/>
  <c r="J107" i="18"/>
  <c r="L106" i="18"/>
  <c r="K106" i="18"/>
  <c r="J106" i="18"/>
  <c r="L105" i="18"/>
  <c r="K105" i="18"/>
  <c r="J105" i="18"/>
  <c r="L104" i="18"/>
  <c r="K104" i="18"/>
  <c r="J104" i="18"/>
  <c r="L103" i="18"/>
  <c r="K103" i="18"/>
  <c r="J103" i="18"/>
  <c r="L102" i="18"/>
  <c r="K102" i="18"/>
  <c r="J102" i="18"/>
  <c r="L101" i="18"/>
  <c r="K101" i="18"/>
  <c r="J101" i="18"/>
  <c r="L100" i="18"/>
  <c r="K100" i="18"/>
  <c r="J100" i="18"/>
  <c r="L99" i="18"/>
  <c r="K99" i="18"/>
  <c r="J99" i="18"/>
  <c r="L98" i="18"/>
  <c r="K98" i="18"/>
  <c r="J98" i="18"/>
  <c r="L97" i="18"/>
  <c r="K97" i="18"/>
  <c r="J97" i="18"/>
  <c r="L96" i="18"/>
  <c r="K96" i="18"/>
  <c r="J96" i="18"/>
  <c r="L95" i="18"/>
  <c r="K95" i="18"/>
  <c r="J95" i="18"/>
  <c r="L94" i="18"/>
  <c r="K94" i="18"/>
  <c r="J94" i="18"/>
  <c r="L93" i="18"/>
  <c r="K93" i="18"/>
  <c r="J93" i="18"/>
  <c r="L92" i="18"/>
  <c r="K92" i="18"/>
  <c r="L91" i="18"/>
  <c r="K91" i="18"/>
  <c r="J91" i="18"/>
  <c r="L90" i="18"/>
  <c r="K90" i="18"/>
  <c r="J90" i="18"/>
  <c r="L89" i="18"/>
  <c r="K89" i="18"/>
  <c r="J89" i="18"/>
  <c r="L88" i="18"/>
  <c r="K88" i="18"/>
  <c r="J88" i="18"/>
  <c r="L87" i="18"/>
  <c r="K87" i="18"/>
  <c r="J87" i="18"/>
  <c r="L86" i="18"/>
  <c r="K86" i="18"/>
  <c r="J86" i="18"/>
  <c r="L85" i="18"/>
  <c r="K85" i="18"/>
  <c r="J85" i="18"/>
  <c r="L148" i="18"/>
  <c r="K148" i="18"/>
  <c r="J148" i="18"/>
  <c r="L84" i="18"/>
  <c r="K84" i="18"/>
  <c r="J84" i="18"/>
  <c r="L83" i="18"/>
  <c r="K83" i="18"/>
  <c r="J83" i="18"/>
  <c r="L82" i="18"/>
  <c r="K82" i="18"/>
  <c r="J82" i="18"/>
  <c r="L81" i="18"/>
  <c r="K81" i="18"/>
  <c r="J81" i="18"/>
  <c r="L80" i="18"/>
  <c r="K80" i="18"/>
  <c r="J80" i="18"/>
  <c r="L79" i="18"/>
  <c r="K79" i="18"/>
  <c r="J79" i="18"/>
  <c r="L78" i="18"/>
  <c r="K78" i="18"/>
  <c r="J78" i="18"/>
  <c r="L77" i="18"/>
  <c r="K77" i="18"/>
  <c r="J77" i="18"/>
  <c r="L76" i="18"/>
  <c r="K76" i="18"/>
  <c r="J76" i="18"/>
  <c r="L75" i="18"/>
  <c r="K75" i="18"/>
  <c r="J75" i="18"/>
  <c r="L74" i="18"/>
  <c r="K74" i="18"/>
  <c r="J74" i="18"/>
  <c r="L73" i="18"/>
  <c r="K73" i="18"/>
  <c r="J73" i="18"/>
  <c r="L72" i="18"/>
  <c r="K72" i="18"/>
  <c r="J72" i="18"/>
  <c r="L71" i="18"/>
  <c r="K71" i="18"/>
  <c r="J71" i="18"/>
  <c r="L70" i="18"/>
  <c r="K70" i="18"/>
  <c r="J70" i="18"/>
  <c r="L69" i="18"/>
  <c r="K69" i="18"/>
  <c r="J69" i="18"/>
  <c r="L68" i="18"/>
  <c r="K68" i="18"/>
  <c r="J68" i="18"/>
  <c r="L67" i="18"/>
  <c r="K67" i="18"/>
  <c r="J67" i="18"/>
  <c r="L66" i="18"/>
  <c r="K66" i="18"/>
  <c r="J66" i="18"/>
  <c r="L65" i="18"/>
  <c r="K65" i="18"/>
  <c r="J65" i="18"/>
  <c r="M65" i="18" s="1"/>
  <c r="L146" i="18"/>
  <c r="K146" i="18"/>
  <c r="J146" i="18"/>
  <c r="L64" i="18"/>
  <c r="K64" i="18"/>
  <c r="M64" i="18" s="1"/>
  <c r="L63" i="18"/>
  <c r="M63" i="18"/>
  <c r="L62" i="18"/>
  <c r="K62" i="18"/>
  <c r="M62" i="18" s="1"/>
  <c r="L61" i="18"/>
  <c r="K61" i="18"/>
  <c r="J61" i="18"/>
  <c r="L144" i="18"/>
  <c r="K144" i="18"/>
  <c r="J144" i="18"/>
  <c r="L60" i="18"/>
  <c r="K60" i="18"/>
  <c r="J60" i="18"/>
  <c r="L59" i="18"/>
  <c r="K59" i="18"/>
  <c r="J59" i="18"/>
  <c r="L58" i="18"/>
  <c r="K58" i="18"/>
  <c r="J58" i="18"/>
  <c r="L57" i="18"/>
  <c r="K57" i="18"/>
  <c r="J57" i="18"/>
  <c r="L147" i="18"/>
  <c r="K147" i="18"/>
  <c r="J147" i="18"/>
  <c r="L56" i="18"/>
  <c r="K56" i="18"/>
  <c r="J56" i="18"/>
  <c r="L55" i="18"/>
  <c r="K55" i="18"/>
  <c r="J55" i="18"/>
  <c r="L54" i="18"/>
  <c r="K54" i="18"/>
  <c r="J54" i="18"/>
  <c r="L53" i="18"/>
  <c r="K53" i="18"/>
  <c r="J53" i="18"/>
  <c r="L52" i="18"/>
  <c r="K52" i="18"/>
  <c r="J52" i="18"/>
  <c r="L51" i="18"/>
  <c r="K51" i="18"/>
  <c r="J51" i="18"/>
  <c r="L50" i="18"/>
  <c r="K50" i="18"/>
  <c r="J50" i="18"/>
  <c r="L49" i="18"/>
  <c r="K49" i="18"/>
  <c r="J49" i="18"/>
  <c r="L48" i="18"/>
  <c r="K48" i="18"/>
  <c r="J48" i="18"/>
  <c r="L47" i="18"/>
  <c r="K47" i="18"/>
  <c r="J47" i="18"/>
  <c r="L46" i="18"/>
  <c r="K46" i="18"/>
  <c r="J46" i="18"/>
  <c r="L45" i="18"/>
  <c r="K45" i="18"/>
  <c r="J45" i="18"/>
  <c r="L44" i="18"/>
  <c r="K44" i="18"/>
  <c r="J44" i="18"/>
  <c r="L43" i="18"/>
  <c r="K43" i="18"/>
  <c r="J43" i="18"/>
  <c r="L42" i="18"/>
  <c r="K42" i="18"/>
  <c r="J42" i="18"/>
  <c r="L41" i="18"/>
  <c r="K41" i="18"/>
  <c r="J41" i="18"/>
  <c r="L40" i="18"/>
  <c r="K40" i="18"/>
  <c r="J40" i="18"/>
  <c r="L39" i="18"/>
  <c r="K39" i="18"/>
  <c r="J39" i="18"/>
  <c r="L38" i="18"/>
  <c r="K38" i="18"/>
  <c r="J38" i="18"/>
  <c r="L37" i="18"/>
  <c r="K37" i="18"/>
  <c r="J37" i="18"/>
  <c r="L36" i="18"/>
  <c r="K36" i="18"/>
  <c r="J36" i="18"/>
  <c r="L35" i="18"/>
  <c r="K35" i="18"/>
  <c r="J35" i="18"/>
  <c r="L34" i="18"/>
  <c r="K34" i="18"/>
  <c r="J34" i="18"/>
  <c r="L33" i="18"/>
  <c r="K33" i="18"/>
  <c r="J33" i="18"/>
  <c r="L32" i="18"/>
  <c r="K32" i="18"/>
  <c r="J32" i="18"/>
  <c r="L31" i="18"/>
  <c r="K31" i="18"/>
  <c r="J31" i="18"/>
  <c r="L30" i="18"/>
  <c r="K30" i="18"/>
  <c r="J30" i="18"/>
  <c r="L29" i="18"/>
  <c r="K29" i="18"/>
  <c r="J29" i="18"/>
  <c r="L28" i="18"/>
  <c r="K28" i="18"/>
  <c r="J28" i="18"/>
  <c r="L27" i="18"/>
  <c r="K27" i="18"/>
  <c r="J27" i="18"/>
  <c r="L26" i="18"/>
  <c r="K26" i="18"/>
  <c r="J26" i="18"/>
  <c r="L25" i="18"/>
  <c r="K25" i="18"/>
  <c r="J25" i="18"/>
  <c r="L24" i="18"/>
  <c r="K24" i="18"/>
  <c r="J24" i="18"/>
  <c r="L23" i="18"/>
  <c r="K23" i="18"/>
  <c r="J23" i="18"/>
  <c r="L22" i="18"/>
  <c r="K22" i="18"/>
  <c r="J22" i="18"/>
  <c r="L21" i="18"/>
  <c r="K21" i="18"/>
  <c r="J21" i="18"/>
  <c r="L20" i="18"/>
  <c r="K20" i="18"/>
  <c r="J20" i="18"/>
  <c r="L19" i="18"/>
  <c r="K19" i="18"/>
  <c r="J19" i="18"/>
  <c r="L18" i="18"/>
  <c r="K18" i="18"/>
  <c r="J18" i="18"/>
  <c r="L17" i="18"/>
  <c r="K17" i="18"/>
  <c r="J17" i="18"/>
  <c r="L16" i="18"/>
  <c r="K16" i="18"/>
  <c r="J16" i="18"/>
  <c r="L15" i="18"/>
  <c r="K15" i="18"/>
  <c r="J15" i="18"/>
  <c r="L14" i="18"/>
  <c r="K14" i="18"/>
  <c r="J14" i="18"/>
  <c r="L13" i="18"/>
  <c r="K13" i="18"/>
  <c r="J13" i="18"/>
  <c r="L12" i="18"/>
  <c r="L11" i="18"/>
  <c r="K11" i="18"/>
  <c r="J11" i="18"/>
  <c r="L10" i="18"/>
  <c r="K10" i="18"/>
  <c r="J10" i="18"/>
  <c r="L9" i="18"/>
  <c r="K9" i="18"/>
  <c r="J9" i="18"/>
  <c r="L8" i="18"/>
  <c r="K8" i="18"/>
  <c r="J8" i="18"/>
  <c r="L7" i="18"/>
  <c r="K7" i="18"/>
  <c r="J7" i="18"/>
  <c r="L149" i="18"/>
  <c r="K149" i="18"/>
  <c r="J149" i="18"/>
  <c r="L6" i="18"/>
  <c r="K6" i="18"/>
  <c r="J6" i="18"/>
  <c r="L143" i="18"/>
  <c r="K143" i="18"/>
  <c r="J143" i="18"/>
  <c r="L142" i="18"/>
  <c r="K142" i="18"/>
  <c r="J142" i="18"/>
  <c r="L5" i="18"/>
  <c r="K5" i="18"/>
  <c r="J5" i="18"/>
  <c r="L4" i="18"/>
  <c r="K4" i="18"/>
  <c r="J4" i="18"/>
  <c r="L3" i="18"/>
  <c r="K3" i="18"/>
  <c r="J3" i="18"/>
  <c r="L2" i="18"/>
  <c r="K2" i="18"/>
  <c r="J2" i="18"/>
  <c r="M5" i="18" l="1"/>
  <c r="U7" i="1" s="1"/>
  <c r="M149" i="18"/>
  <c r="U11" i="1" s="1"/>
  <c r="W11" i="1" s="1"/>
  <c r="M10" i="18"/>
  <c r="U15" i="1" s="1"/>
  <c r="M14" i="18"/>
  <c r="U19" i="1" s="1"/>
  <c r="M18" i="18"/>
  <c r="U23" i="1" s="1"/>
  <c r="M22" i="18"/>
  <c r="U27" i="1" s="1"/>
  <c r="M142" i="18"/>
  <c r="U8" i="1" s="1"/>
  <c r="M7" i="18"/>
  <c r="M11" i="18"/>
  <c r="U16" i="1" s="1"/>
  <c r="M15" i="18"/>
  <c r="U20" i="1" s="1"/>
  <c r="M19" i="18"/>
  <c r="U24" i="1" s="1"/>
  <c r="W24" i="1" s="1"/>
  <c r="M23" i="18"/>
  <c r="U28" i="1" s="1"/>
  <c r="M27" i="18"/>
  <c r="U32" i="1" s="1"/>
  <c r="W32" i="1" s="1"/>
  <c r="X32" i="1" s="1"/>
  <c r="M31" i="18"/>
  <c r="U36" i="1" s="1"/>
  <c r="M35" i="18"/>
  <c r="U40" i="1" s="1"/>
  <c r="M39" i="18"/>
  <c r="U44" i="1" s="1"/>
  <c r="X201" i="17"/>
  <c r="Y201" i="17" s="1"/>
  <c r="Z201" i="17" s="1"/>
  <c r="M26" i="18"/>
  <c r="U31" i="1" s="1"/>
  <c r="M30" i="18"/>
  <c r="U35" i="1" s="1"/>
  <c r="M4" i="18"/>
  <c r="U6" i="1" s="1"/>
  <c r="W6" i="1" s="1"/>
  <c r="M6" i="18"/>
  <c r="U10" i="1" s="1"/>
  <c r="W10" i="1" s="1"/>
  <c r="M9" i="18"/>
  <c r="U14" i="1" s="1"/>
  <c r="M13" i="18"/>
  <c r="U18" i="1" s="1"/>
  <c r="W18" i="1" s="1"/>
  <c r="M17" i="18"/>
  <c r="U22" i="1" s="1"/>
  <c r="M21" i="18"/>
  <c r="U26" i="1" s="1"/>
  <c r="M25" i="18"/>
  <c r="U30" i="1" s="1"/>
  <c r="M29" i="18"/>
  <c r="U34" i="1" s="1"/>
  <c r="M33" i="18"/>
  <c r="U38" i="1" s="1"/>
  <c r="M37" i="18"/>
  <c r="U42" i="1" s="1"/>
  <c r="M41" i="18"/>
  <c r="U46" i="1" s="1"/>
  <c r="M143" i="18"/>
  <c r="U9" i="1" s="1"/>
  <c r="W9" i="1" s="1"/>
  <c r="M8" i="18"/>
  <c r="M12" i="18"/>
  <c r="U17" i="1" s="1"/>
  <c r="M16" i="18"/>
  <c r="U21" i="1" s="1"/>
  <c r="M20" i="18"/>
  <c r="U25" i="1" s="1"/>
  <c r="M24" i="18"/>
  <c r="U29" i="1" s="1"/>
  <c r="W29" i="1" s="1"/>
  <c r="M28" i="18"/>
  <c r="U33" i="1" s="1"/>
  <c r="M32" i="18"/>
  <c r="U37" i="1" s="1"/>
  <c r="M36" i="18"/>
  <c r="U41" i="1" s="1"/>
  <c r="M40" i="18"/>
  <c r="U45" i="1" s="1"/>
  <c r="M34" i="18"/>
  <c r="U39" i="1" s="1"/>
  <c r="W39" i="1" s="1"/>
  <c r="X39" i="1" s="1"/>
  <c r="M38" i="18"/>
  <c r="U43" i="1" s="1"/>
  <c r="W43" i="1" s="1"/>
  <c r="M45" i="18"/>
  <c r="U50" i="1" s="1"/>
  <c r="M49" i="18"/>
  <c r="U54" i="1" s="1"/>
  <c r="M53" i="18"/>
  <c r="U58" i="1" s="1"/>
  <c r="W58" i="1" s="1"/>
  <c r="M147" i="18"/>
  <c r="U62" i="1" s="1"/>
  <c r="M60" i="18"/>
  <c r="U66" i="1" s="1"/>
  <c r="U70" i="1"/>
  <c r="W70" i="1" s="1"/>
  <c r="X70" i="1" s="1"/>
  <c r="M66" i="18"/>
  <c r="U74" i="1" s="1"/>
  <c r="M70" i="18"/>
  <c r="U78" i="1" s="1"/>
  <c r="W78" i="1" s="1"/>
  <c r="M74" i="18"/>
  <c r="U82" i="1" s="1"/>
  <c r="M78" i="18"/>
  <c r="U86" i="1" s="1"/>
  <c r="M84" i="18"/>
  <c r="U92" i="1" s="1"/>
  <c r="M87" i="18"/>
  <c r="U96" i="1" s="1"/>
  <c r="M91" i="18"/>
  <c r="U100" i="1" s="1"/>
  <c r="M95" i="18"/>
  <c r="U104" i="1" s="1"/>
  <c r="M99" i="18"/>
  <c r="U108" i="1" s="1"/>
  <c r="W108" i="1" s="1"/>
  <c r="M103" i="18"/>
  <c r="U112" i="1" s="1"/>
  <c r="M107" i="18"/>
  <c r="U116" i="1" s="1"/>
  <c r="M110" i="18"/>
  <c r="U120" i="1" s="1"/>
  <c r="M114" i="18"/>
  <c r="U124" i="1" s="1"/>
  <c r="M118" i="18"/>
  <c r="U128" i="1" s="1"/>
  <c r="M122" i="18"/>
  <c r="U132" i="1" s="1"/>
  <c r="M126" i="18"/>
  <c r="U136" i="1" s="1"/>
  <c r="M130" i="18"/>
  <c r="U140" i="1" s="1"/>
  <c r="M83" i="18"/>
  <c r="U91" i="1" s="1"/>
  <c r="M86" i="18"/>
  <c r="U95" i="1" s="1"/>
  <c r="M90" i="18"/>
  <c r="U99" i="1" s="1"/>
  <c r="M94" i="18"/>
  <c r="U103" i="1" s="1"/>
  <c r="M98" i="18"/>
  <c r="U107" i="1" s="1"/>
  <c r="M102" i="18"/>
  <c r="U111" i="1" s="1"/>
  <c r="M106" i="18"/>
  <c r="U115" i="1" s="1"/>
  <c r="M145" i="18"/>
  <c r="U119" i="1" s="1"/>
  <c r="M113" i="18"/>
  <c r="U123" i="1" s="1"/>
  <c r="M117" i="18"/>
  <c r="U127" i="1" s="1"/>
  <c r="M121" i="18"/>
  <c r="U131" i="1" s="1"/>
  <c r="M125" i="18"/>
  <c r="U135" i="1" s="1"/>
  <c r="M129" i="18"/>
  <c r="U139" i="1" s="1"/>
  <c r="M2" i="18"/>
  <c r="U4" i="1" s="1"/>
  <c r="M48" i="18"/>
  <c r="U53" i="1" s="1"/>
  <c r="M3" i="18"/>
  <c r="U5" i="1" s="1"/>
  <c r="M43" i="18"/>
  <c r="U48" i="1" s="1"/>
  <c r="W48" i="1" s="1"/>
  <c r="X48" i="1" s="1"/>
  <c r="M47" i="18"/>
  <c r="U52" i="1" s="1"/>
  <c r="M51" i="18"/>
  <c r="U56" i="1" s="1"/>
  <c r="M55" i="18"/>
  <c r="U60" i="1" s="1"/>
  <c r="M58" i="18"/>
  <c r="U64" i="1" s="1"/>
  <c r="X64" i="1" s="1"/>
  <c r="M61" i="18"/>
  <c r="U68" i="1" s="1"/>
  <c r="W68" i="1" s="1"/>
  <c r="M146" i="18"/>
  <c r="U72" i="1" s="1"/>
  <c r="M68" i="18"/>
  <c r="U76" i="1" s="1"/>
  <c r="M72" i="18"/>
  <c r="U80" i="1" s="1"/>
  <c r="M76" i="18"/>
  <c r="U84" i="1" s="1"/>
  <c r="M80" i="18"/>
  <c r="U88" i="1" s="1"/>
  <c r="M42" i="18"/>
  <c r="U47" i="1" s="1"/>
  <c r="M46" i="18"/>
  <c r="U51" i="1" s="1"/>
  <c r="M50" i="18"/>
  <c r="U55" i="1" s="1"/>
  <c r="M54" i="18"/>
  <c r="U59" i="1" s="1"/>
  <c r="M57" i="18"/>
  <c r="U63" i="1" s="1"/>
  <c r="M144" i="18"/>
  <c r="U67" i="1" s="1"/>
  <c r="U71" i="1"/>
  <c r="M67" i="18"/>
  <c r="U75" i="1" s="1"/>
  <c r="M71" i="18"/>
  <c r="U79" i="1" s="1"/>
  <c r="M75" i="18"/>
  <c r="U83" i="1" s="1"/>
  <c r="M79" i="18"/>
  <c r="U87" i="1" s="1"/>
  <c r="M44" i="18"/>
  <c r="U49" i="1" s="1"/>
  <c r="M52" i="18"/>
  <c r="U57" i="1" s="1"/>
  <c r="M56" i="18"/>
  <c r="U61" i="1" s="1"/>
  <c r="M59" i="18"/>
  <c r="U65" i="1" s="1"/>
  <c r="U69" i="1"/>
  <c r="U73" i="1"/>
  <c r="M69" i="18"/>
  <c r="U77" i="1" s="1"/>
  <c r="M73" i="18"/>
  <c r="U81" i="1" s="1"/>
  <c r="M77" i="18"/>
  <c r="U85" i="1" s="1"/>
  <c r="M82" i="18"/>
  <c r="U90" i="1" s="1"/>
  <c r="M85" i="18"/>
  <c r="U94" i="1" s="1"/>
  <c r="M89" i="18"/>
  <c r="U98" i="1" s="1"/>
  <c r="M93" i="18"/>
  <c r="U102" i="1" s="1"/>
  <c r="M97" i="18"/>
  <c r="U106" i="1" s="1"/>
  <c r="M101" i="18"/>
  <c r="U110" i="1" s="1"/>
  <c r="M105" i="18"/>
  <c r="U114" i="1" s="1"/>
  <c r="M109" i="18"/>
  <c r="U118" i="1" s="1"/>
  <c r="M112" i="18"/>
  <c r="U122" i="1" s="1"/>
  <c r="M116" i="18"/>
  <c r="U126" i="1" s="1"/>
  <c r="W126" i="1" s="1"/>
  <c r="M120" i="18"/>
  <c r="U130" i="1" s="1"/>
  <c r="M124" i="18"/>
  <c r="U134" i="1" s="1"/>
  <c r="M128" i="18"/>
  <c r="U138" i="1" s="1"/>
  <c r="M132" i="18"/>
  <c r="U142" i="1" s="1"/>
  <c r="M81" i="18"/>
  <c r="U89" i="1" s="1"/>
  <c r="M148" i="18"/>
  <c r="U93" i="1" s="1"/>
  <c r="M88" i="18"/>
  <c r="U97" i="1" s="1"/>
  <c r="U101" i="1"/>
  <c r="M96" i="18"/>
  <c r="U105" i="1" s="1"/>
  <c r="M100" i="18"/>
  <c r="U109" i="1" s="1"/>
  <c r="M104" i="18"/>
  <c r="U113" i="1" s="1"/>
  <c r="M108" i="18"/>
  <c r="U117" i="1" s="1"/>
  <c r="M111" i="18"/>
  <c r="U121" i="1" s="1"/>
  <c r="M115" i="18"/>
  <c r="U125" i="1" s="1"/>
  <c r="M119" i="18"/>
  <c r="U129" i="1" s="1"/>
  <c r="M123" i="18"/>
  <c r="U133" i="1" s="1"/>
  <c r="M127" i="18"/>
  <c r="U137" i="1" s="1"/>
  <c r="M131" i="18"/>
  <c r="U141" i="1" s="1"/>
  <c r="Z4" i="1" l="1"/>
  <c r="Z38" i="1"/>
  <c r="AA38" i="1" s="1"/>
  <c r="AB38" i="1"/>
  <c r="J140" i="17" l="1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34" i="17"/>
  <c r="J135" i="17"/>
  <c r="J136" i="17"/>
  <c r="J137" i="17"/>
  <c r="J138" i="17"/>
  <c r="J139" i="17"/>
  <c r="L168" i="17"/>
  <c r="K168" i="17"/>
  <c r="AB5" i="1"/>
  <c r="AB6" i="1"/>
  <c r="AB20" i="1"/>
  <c r="AB14" i="1"/>
  <c r="AB16" i="1"/>
  <c r="AB17" i="1"/>
  <c r="AB18" i="1"/>
  <c r="AB19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9" i="1"/>
  <c r="AB40" i="1"/>
  <c r="AB41" i="1"/>
  <c r="AB42" i="1"/>
  <c r="AB43" i="1"/>
  <c r="AB44" i="1"/>
  <c r="AB45" i="1"/>
  <c r="AB46" i="1"/>
  <c r="AB47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105" i="1"/>
  <c r="AB106" i="1"/>
  <c r="AB107" i="1"/>
  <c r="AB108" i="1"/>
  <c r="AB109" i="1"/>
  <c r="AB110" i="1"/>
  <c r="AB111" i="1"/>
  <c r="AB114" i="1"/>
  <c r="AB115" i="1"/>
  <c r="AB116" i="1"/>
  <c r="AB117" i="1"/>
  <c r="AB118" i="1"/>
  <c r="AB119" i="1"/>
  <c r="AB120" i="1"/>
  <c r="AB126" i="1"/>
  <c r="AB128" i="1"/>
  <c r="AB129" i="1"/>
  <c r="AB130" i="1"/>
  <c r="AB131" i="1"/>
  <c r="AB132" i="1"/>
  <c r="AB133" i="1"/>
  <c r="AB134" i="1"/>
  <c r="AB15" i="1"/>
  <c r="AB135" i="1"/>
  <c r="AB136" i="1"/>
  <c r="AB137" i="1"/>
  <c r="AB138" i="1"/>
  <c r="AB139" i="1"/>
  <c r="AB127" i="1"/>
  <c r="AB7" i="1"/>
  <c r="AB70" i="1"/>
  <c r="AB121" i="1"/>
  <c r="AB71" i="1"/>
  <c r="AB8" i="1"/>
  <c r="AB74" i="1"/>
  <c r="AB73" i="1"/>
  <c r="AB72" i="1"/>
  <c r="AB9" i="1"/>
  <c r="AB122" i="1"/>
  <c r="AB76" i="1"/>
  <c r="AB75" i="1"/>
  <c r="AB77" i="1"/>
  <c r="AB140" i="1"/>
  <c r="AB78" i="1"/>
  <c r="AB79" i="1"/>
  <c r="AB80" i="1"/>
  <c r="AB112" i="1"/>
  <c r="AB123" i="1"/>
  <c r="AB83" i="1"/>
  <c r="AB81" i="1"/>
  <c r="AB82" i="1"/>
  <c r="AB11" i="1"/>
  <c r="AB141" i="1"/>
  <c r="AB85" i="1"/>
  <c r="AB84" i="1"/>
  <c r="AB124" i="1"/>
  <c r="AB86" i="1"/>
  <c r="AB89" i="1"/>
  <c r="AB90" i="1"/>
  <c r="AB88" i="1"/>
  <c r="AB125" i="1"/>
  <c r="AB12" i="1"/>
  <c r="AB94" i="1"/>
  <c r="AB93" i="1"/>
  <c r="AB91" i="1"/>
  <c r="AB97" i="1"/>
  <c r="AB99" i="1"/>
  <c r="AB95" i="1"/>
  <c r="AB96" i="1"/>
  <c r="AB100" i="1"/>
  <c r="AB98" i="1"/>
  <c r="AB102" i="1"/>
  <c r="AB92" i="1"/>
  <c r="AB4" i="1"/>
  <c r="Z5" i="1"/>
  <c r="AA5" i="1" s="1"/>
  <c r="Z6" i="1"/>
  <c r="AA6" i="1" s="1"/>
  <c r="Z20" i="1"/>
  <c r="AA20" i="1" s="1"/>
  <c r="Z14" i="1"/>
  <c r="AA14" i="1" s="1"/>
  <c r="Z16" i="1"/>
  <c r="AA16" i="1" s="1"/>
  <c r="Z17" i="1"/>
  <c r="AA17" i="1" s="1"/>
  <c r="Z18" i="1"/>
  <c r="AA18" i="1" s="1"/>
  <c r="Z19" i="1"/>
  <c r="AA19" i="1" s="1"/>
  <c r="Z21" i="1"/>
  <c r="AA21" i="1" s="1"/>
  <c r="Z22" i="1"/>
  <c r="AA22" i="1" s="1"/>
  <c r="Z23" i="1"/>
  <c r="AA23" i="1" s="1"/>
  <c r="Z24" i="1"/>
  <c r="AA24" i="1" s="1"/>
  <c r="Z25" i="1"/>
  <c r="AA25" i="1" s="1"/>
  <c r="Z26" i="1"/>
  <c r="AA26" i="1" s="1"/>
  <c r="Z27" i="1"/>
  <c r="AA27" i="1" s="1"/>
  <c r="Z28" i="1"/>
  <c r="AA28" i="1" s="1"/>
  <c r="Z29" i="1"/>
  <c r="AA29" i="1" s="1"/>
  <c r="Z30" i="1"/>
  <c r="AA30" i="1" s="1"/>
  <c r="Z32" i="1"/>
  <c r="AA32" i="1" s="1"/>
  <c r="Y32" i="1" s="1"/>
  <c r="Z33" i="1"/>
  <c r="AA33" i="1" s="1"/>
  <c r="Z34" i="1"/>
  <c r="AA34" i="1" s="1"/>
  <c r="Z35" i="1"/>
  <c r="AA35" i="1" s="1"/>
  <c r="Z36" i="1"/>
  <c r="AA36" i="1" s="1"/>
  <c r="Z37" i="1"/>
  <c r="AA37" i="1" s="1"/>
  <c r="Z39" i="1"/>
  <c r="AA39" i="1" s="1"/>
  <c r="Z40" i="1"/>
  <c r="AA40" i="1" s="1"/>
  <c r="Z41" i="1"/>
  <c r="AA41" i="1" s="1"/>
  <c r="Z42" i="1"/>
  <c r="AA42" i="1" s="1"/>
  <c r="Z43" i="1"/>
  <c r="AA43" i="1" s="1"/>
  <c r="Z44" i="1"/>
  <c r="AA44" i="1" s="1"/>
  <c r="Z45" i="1"/>
  <c r="AA45" i="1" s="1"/>
  <c r="Z46" i="1"/>
  <c r="AA46" i="1" s="1"/>
  <c r="Z47" i="1"/>
  <c r="AA47" i="1" s="1"/>
  <c r="Z48" i="1"/>
  <c r="AA48" i="1" s="1"/>
  <c r="Z49" i="1"/>
  <c r="AA49" i="1" s="1"/>
  <c r="Z50" i="1"/>
  <c r="AA50" i="1" s="1"/>
  <c r="Z51" i="1"/>
  <c r="AA51" i="1" s="1"/>
  <c r="Z52" i="1"/>
  <c r="AA52" i="1" s="1"/>
  <c r="Z53" i="1"/>
  <c r="AA53" i="1" s="1"/>
  <c r="Z54" i="1"/>
  <c r="AA54" i="1" s="1"/>
  <c r="Z55" i="1"/>
  <c r="AA55" i="1" s="1"/>
  <c r="Z56" i="1"/>
  <c r="AA56" i="1" s="1"/>
  <c r="Z57" i="1"/>
  <c r="AA57" i="1" s="1"/>
  <c r="Z58" i="1"/>
  <c r="AA58" i="1" s="1"/>
  <c r="Z59" i="1"/>
  <c r="AA59" i="1" s="1"/>
  <c r="Z60" i="1"/>
  <c r="AA60" i="1" s="1"/>
  <c r="Z61" i="1"/>
  <c r="AA61" i="1" s="1"/>
  <c r="Z62" i="1"/>
  <c r="AA62" i="1" s="1"/>
  <c r="Z63" i="1"/>
  <c r="AA63" i="1" s="1"/>
  <c r="Z64" i="1"/>
  <c r="AA64" i="1" s="1"/>
  <c r="Z65" i="1"/>
  <c r="AA65" i="1" s="1"/>
  <c r="Z66" i="1"/>
  <c r="AA66" i="1" s="1"/>
  <c r="Z67" i="1"/>
  <c r="AA67" i="1" s="1"/>
  <c r="Z68" i="1"/>
  <c r="AA68" i="1" s="1"/>
  <c r="Z69" i="1"/>
  <c r="AA69" i="1" s="1"/>
  <c r="Z105" i="1"/>
  <c r="AA105" i="1" s="1"/>
  <c r="Z106" i="1"/>
  <c r="AA106" i="1" s="1"/>
  <c r="Z107" i="1"/>
  <c r="AA107" i="1" s="1"/>
  <c r="Z108" i="1"/>
  <c r="AA108" i="1" s="1"/>
  <c r="Z109" i="1"/>
  <c r="AA109" i="1" s="1"/>
  <c r="Z110" i="1"/>
  <c r="AA110" i="1" s="1"/>
  <c r="Z111" i="1"/>
  <c r="AA111" i="1" s="1"/>
  <c r="Z114" i="1"/>
  <c r="AA114" i="1" s="1"/>
  <c r="Z115" i="1"/>
  <c r="AA115" i="1" s="1"/>
  <c r="Z116" i="1"/>
  <c r="AA116" i="1" s="1"/>
  <c r="Z117" i="1"/>
  <c r="AA117" i="1" s="1"/>
  <c r="Z118" i="1"/>
  <c r="AA118" i="1" s="1"/>
  <c r="Z119" i="1"/>
  <c r="AA119" i="1" s="1"/>
  <c r="Z120" i="1"/>
  <c r="AA120" i="1" s="1"/>
  <c r="Z126" i="1"/>
  <c r="AA126" i="1" s="1"/>
  <c r="AA128" i="1"/>
  <c r="Z129" i="1"/>
  <c r="AA129" i="1" s="1"/>
  <c r="Z130" i="1"/>
  <c r="AA130" i="1" s="1"/>
  <c r="Z131" i="1"/>
  <c r="AA131" i="1" s="1"/>
  <c r="Z132" i="1"/>
  <c r="AA132" i="1" s="1"/>
  <c r="Z133" i="1"/>
  <c r="AA133" i="1" s="1"/>
  <c r="Z134" i="1"/>
  <c r="AA134" i="1" s="1"/>
  <c r="Z15" i="1"/>
  <c r="AA15" i="1" s="1"/>
  <c r="Z135" i="1"/>
  <c r="AA135" i="1" s="1"/>
  <c r="Z136" i="1"/>
  <c r="AA136" i="1" s="1"/>
  <c r="Z137" i="1"/>
  <c r="AA137" i="1" s="1"/>
  <c r="Z138" i="1"/>
  <c r="AA138" i="1" s="1"/>
  <c r="Z139" i="1"/>
  <c r="AA139" i="1" s="1"/>
  <c r="Z127" i="1"/>
  <c r="AA127" i="1" s="1"/>
  <c r="AA7" i="1"/>
  <c r="Z70" i="1"/>
  <c r="AA70" i="1" s="1"/>
  <c r="Z121" i="1"/>
  <c r="AA121" i="1" s="1"/>
  <c r="Z71" i="1"/>
  <c r="AA71" i="1" s="1"/>
  <c r="Z8" i="1"/>
  <c r="AA8" i="1" s="1"/>
  <c r="Z74" i="1"/>
  <c r="AA74" i="1" s="1"/>
  <c r="Z73" i="1"/>
  <c r="AA73" i="1" s="1"/>
  <c r="Z72" i="1"/>
  <c r="AA72" i="1" s="1"/>
  <c r="Z9" i="1"/>
  <c r="AA9" i="1" s="1"/>
  <c r="Z122" i="1"/>
  <c r="AA122" i="1" s="1"/>
  <c r="Z76" i="1"/>
  <c r="AA76" i="1" s="1"/>
  <c r="Z75" i="1"/>
  <c r="AA75" i="1" s="1"/>
  <c r="Z77" i="1"/>
  <c r="AA77" i="1" s="1"/>
  <c r="Z140" i="1"/>
  <c r="AA140" i="1" s="1"/>
  <c r="Z78" i="1"/>
  <c r="AA78" i="1" s="1"/>
  <c r="Z79" i="1"/>
  <c r="AA79" i="1" s="1"/>
  <c r="Z80" i="1"/>
  <c r="AA80" i="1" s="1"/>
  <c r="Z112" i="1"/>
  <c r="AA112" i="1" s="1"/>
  <c r="Z123" i="1"/>
  <c r="AA123" i="1" s="1"/>
  <c r="Z83" i="1"/>
  <c r="AA83" i="1" s="1"/>
  <c r="Z81" i="1"/>
  <c r="AA81" i="1" s="1"/>
  <c r="Z82" i="1"/>
  <c r="AA82" i="1" s="1"/>
  <c r="Z11" i="1"/>
  <c r="AA11" i="1" s="1"/>
  <c r="Z141" i="1"/>
  <c r="AA141" i="1" s="1"/>
  <c r="Z85" i="1"/>
  <c r="AA85" i="1" s="1"/>
  <c r="Z84" i="1"/>
  <c r="AA84" i="1" s="1"/>
  <c r="Z124" i="1"/>
  <c r="AA124" i="1" s="1"/>
  <c r="Z86" i="1"/>
  <c r="AA86" i="1" s="1"/>
  <c r="Z89" i="1"/>
  <c r="AA89" i="1" s="1"/>
  <c r="Z90" i="1"/>
  <c r="AA90" i="1" s="1"/>
  <c r="Z88" i="1"/>
  <c r="AA88" i="1" s="1"/>
  <c r="Z125" i="1"/>
  <c r="AA125" i="1" s="1"/>
  <c r="Z12" i="1"/>
  <c r="AA12" i="1" s="1"/>
  <c r="Z94" i="1"/>
  <c r="AA94" i="1" s="1"/>
  <c r="Z93" i="1"/>
  <c r="AA93" i="1" s="1"/>
  <c r="Z91" i="1"/>
  <c r="AA91" i="1" s="1"/>
  <c r="Z97" i="1"/>
  <c r="AA97" i="1" s="1"/>
  <c r="Z99" i="1"/>
  <c r="AA99" i="1" s="1"/>
  <c r="Z95" i="1"/>
  <c r="AA95" i="1" s="1"/>
  <c r="Z96" i="1"/>
  <c r="AA96" i="1" s="1"/>
  <c r="Z100" i="1"/>
  <c r="Z98" i="1"/>
  <c r="AA98" i="1" s="1"/>
  <c r="Y98" i="1" s="1"/>
  <c r="Z102" i="1"/>
  <c r="AA102" i="1" s="1"/>
  <c r="Y102" i="1" s="1"/>
  <c r="Z13" i="1"/>
  <c r="AA13" i="1" s="1"/>
  <c r="Y13" i="1" s="1"/>
  <c r="Z92" i="1"/>
  <c r="AA92" i="1" s="1"/>
  <c r="Y92" i="1" s="1"/>
  <c r="AA4" i="1"/>
  <c r="W92" i="1"/>
  <c r="M168" i="17" l="1"/>
  <c r="AA100" i="1"/>
  <c r="Y100" i="1" s="1"/>
  <c r="J45" i="17"/>
  <c r="K164" i="17"/>
  <c r="L164" i="17"/>
  <c r="K165" i="17"/>
  <c r="L165" i="17"/>
  <c r="K166" i="17"/>
  <c r="L166" i="17"/>
  <c r="K167" i="17"/>
  <c r="L167" i="17"/>
  <c r="J29" i="1"/>
  <c r="L32" i="1"/>
  <c r="J7" i="2"/>
  <c r="H6" i="3"/>
  <c r="I6" i="3"/>
  <c r="L5" i="16"/>
  <c r="M5" i="16"/>
  <c r="N5" i="16"/>
  <c r="O5" i="16"/>
  <c r="M165" i="17" l="1"/>
  <c r="J6" i="3"/>
  <c r="M166" i="17"/>
  <c r="P5" i="16"/>
  <c r="U176" i="17" s="1"/>
  <c r="M164" i="17"/>
  <c r="W102" i="1"/>
  <c r="W98" i="1"/>
  <c r="W100" i="1"/>
  <c r="L100" i="16"/>
  <c r="K149" i="17"/>
  <c r="L149" i="17"/>
  <c r="K150" i="17"/>
  <c r="L150" i="17"/>
  <c r="K151" i="17"/>
  <c r="L151" i="17"/>
  <c r="K152" i="17"/>
  <c r="L152" i="17"/>
  <c r="K153" i="17"/>
  <c r="L153" i="17"/>
  <c r="K154" i="17"/>
  <c r="L154" i="17"/>
  <c r="K155" i="17"/>
  <c r="L155" i="17"/>
  <c r="K156" i="17"/>
  <c r="L156" i="17"/>
  <c r="K157" i="17"/>
  <c r="L157" i="17"/>
  <c r="K158" i="17"/>
  <c r="L158" i="17"/>
  <c r="K159" i="17"/>
  <c r="L159" i="17"/>
  <c r="K160" i="17"/>
  <c r="L160" i="17"/>
  <c r="K161" i="17"/>
  <c r="L161" i="17"/>
  <c r="K162" i="17"/>
  <c r="L162" i="17"/>
  <c r="K163" i="17"/>
  <c r="L163" i="17"/>
  <c r="M154" i="17" l="1"/>
  <c r="W125" i="1" s="1"/>
  <c r="X125" i="1" s="1"/>
  <c r="Y125" i="1" s="1"/>
  <c r="M162" i="17"/>
  <c r="M158" i="17"/>
  <c r="W91" i="1" s="1"/>
  <c r="X91" i="1" s="1"/>
  <c r="Y91" i="1" s="1"/>
  <c r="M150" i="17"/>
  <c r="W86" i="1" s="1"/>
  <c r="X86" i="1" s="1"/>
  <c r="Y86" i="1" s="1"/>
  <c r="M163" i="17"/>
  <c r="W96" i="1" s="1"/>
  <c r="X96" i="1" s="1"/>
  <c r="Y96" i="1" s="1"/>
  <c r="M159" i="17"/>
  <c r="W97" i="1" s="1"/>
  <c r="X97" i="1" s="1"/>
  <c r="Y97" i="1" s="1"/>
  <c r="M155" i="17"/>
  <c r="X12" i="1" s="1"/>
  <c r="Y12" i="1" s="1"/>
  <c r="M151" i="17"/>
  <c r="W89" i="1" s="1"/>
  <c r="X89" i="1" s="1"/>
  <c r="Y89" i="1" s="1"/>
  <c r="M160" i="17"/>
  <c r="W99" i="1" s="1"/>
  <c r="X99" i="1" s="1"/>
  <c r="Y99" i="1" s="1"/>
  <c r="M156" i="17"/>
  <c r="W94" i="1" s="1"/>
  <c r="X94" i="1" s="1"/>
  <c r="Y94" i="1" s="1"/>
  <c r="M152" i="17"/>
  <c r="W90" i="1" s="1"/>
  <c r="X90" i="1" s="1"/>
  <c r="Y90" i="1" s="1"/>
  <c r="M161" i="17"/>
  <c r="W95" i="1" s="1"/>
  <c r="X95" i="1" s="1"/>
  <c r="Y95" i="1" s="1"/>
  <c r="M157" i="17"/>
  <c r="W93" i="1" s="1"/>
  <c r="X93" i="1" s="1"/>
  <c r="Y93" i="1" s="1"/>
  <c r="M153" i="17"/>
  <c r="W88" i="1" s="1"/>
  <c r="X88" i="1" s="1"/>
  <c r="Y88" i="1" s="1"/>
  <c r="M149" i="17"/>
  <c r="W124" i="1" s="1"/>
  <c r="X124" i="1" s="1"/>
  <c r="Y124" i="1" s="1"/>
  <c r="O12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1" i="16"/>
  <c r="O10" i="16"/>
  <c r="O8" i="16"/>
  <c r="O7" i="16"/>
  <c r="O6" i="16"/>
  <c r="O4" i="16"/>
  <c r="O3" i="16"/>
  <c r="O2" i="16"/>
  <c r="N13" i="16"/>
  <c r="M13" i="16"/>
  <c r="L13" i="16"/>
  <c r="L119" i="16"/>
  <c r="N137" i="16"/>
  <c r="N138" i="16"/>
  <c r="N139" i="16"/>
  <c r="M137" i="16"/>
  <c r="M138" i="16"/>
  <c r="M139" i="16"/>
  <c r="L137" i="16"/>
  <c r="L138" i="16"/>
  <c r="L136" i="16"/>
  <c r="P13" i="16" l="1"/>
  <c r="J3" i="17"/>
  <c r="K3" i="17"/>
  <c r="L3" i="17"/>
  <c r="J4" i="17"/>
  <c r="K4" i="17"/>
  <c r="L4" i="17"/>
  <c r="J5" i="17"/>
  <c r="K5" i="17"/>
  <c r="L5" i="17"/>
  <c r="J6" i="17"/>
  <c r="K6" i="17"/>
  <c r="L6" i="17"/>
  <c r="J7" i="17"/>
  <c r="K7" i="17"/>
  <c r="L7" i="17"/>
  <c r="J8" i="17"/>
  <c r="K8" i="17"/>
  <c r="L8" i="17"/>
  <c r="J9" i="17"/>
  <c r="K9" i="17"/>
  <c r="L9" i="17"/>
  <c r="J10" i="17"/>
  <c r="K10" i="17"/>
  <c r="L10" i="17"/>
  <c r="J11" i="17"/>
  <c r="K11" i="17"/>
  <c r="L11" i="17"/>
  <c r="J12" i="17"/>
  <c r="K12" i="17"/>
  <c r="L12" i="17"/>
  <c r="J13" i="17"/>
  <c r="K13" i="17"/>
  <c r="L13" i="17"/>
  <c r="J14" i="17"/>
  <c r="K14" i="17"/>
  <c r="L14" i="17"/>
  <c r="J15" i="17"/>
  <c r="K15" i="17"/>
  <c r="L15" i="17"/>
  <c r="J16" i="17"/>
  <c r="K16" i="17"/>
  <c r="L16" i="17"/>
  <c r="J17" i="17"/>
  <c r="K17" i="17"/>
  <c r="L17" i="17"/>
  <c r="J18" i="17"/>
  <c r="K18" i="17"/>
  <c r="L18" i="17"/>
  <c r="J19" i="17"/>
  <c r="K19" i="17"/>
  <c r="L19" i="17"/>
  <c r="J20" i="17"/>
  <c r="K20" i="17"/>
  <c r="L20" i="17"/>
  <c r="J21" i="17"/>
  <c r="K21" i="17"/>
  <c r="L21" i="17"/>
  <c r="J22" i="17"/>
  <c r="K22" i="17"/>
  <c r="L22" i="17"/>
  <c r="J23" i="17"/>
  <c r="K23" i="17"/>
  <c r="L23" i="17"/>
  <c r="J24" i="17"/>
  <c r="K24" i="17"/>
  <c r="L24" i="17"/>
  <c r="J25" i="17"/>
  <c r="K25" i="17"/>
  <c r="L25" i="17"/>
  <c r="J26" i="17"/>
  <c r="K26" i="17"/>
  <c r="L26" i="17"/>
  <c r="J27" i="17"/>
  <c r="K27" i="17"/>
  <c r="L27" i="17"/>
  <c r="J28" i="17"/>
  <c r="K28" i="17"/>
  <c r="L28" i="17"/>
  <c r="J29" i="17"/>
  <c r="K29" i="17"/>
  <c r="L29" i="17"/>
  <c r="J30" i="17"/>
  <c r="K30" i="17"/>
  <c r="L30" i="17"/>
  <c r="J31" i="17"/>
  <c r="K31" i="17"/>
  <c r="L31" i="17"/>
  <c r="J32" i="17"/>
  <c r="K32" i="17"/>
  <c r="L32" i="17"/>
  <c r="J33" i="17"/>
  <c r="K33" i="17"/>
  <c r="L33" i="17"/>
  <c r="J34" i="17"/>
  <c r="K34" i="17"/>
  <c r="L34" i="17"/>
  <c r="J35" i="17"/>
  <c r="K35" i="17"/>
  <c r="L35" i="17"/>
  <c r="J36" i="17"/>
  <c r="K36" i="17"/>
  <c r="L36" i="17"/>
  <c r="J37" i="17"/>
  <c r="K37" i="17"/>
  <c r="L37" i="17"/>
  <c r="J38" i="17"/>
  <c r="K38" i="17"/>
  <c r="L38" i="17"/>
  <c r="J39" i="17"/>
  <c r="K39" i="17"/>
  <c r="L39" i="17"/>
  <c r="J40" i="17"/>
  <c r="K40" i="17"/>
  <c r="L40" i="17"/>
  <c r="J41" i="17"/>
  <c r="K41" i="17"/>
  <c r="L41" i="17"/>
  <c r="J42" i="17"/>
  <c r="K42" i="17"/>
  <c r="L42" i="17"/>
  <c r="J43" i="17"/>
  <c r="K43" i="17"/>
  <c r="L43" i="17"/>
  <c r="J44" i="17"/>
  <c r="K44" i="17"/>
  <c r="L44" i="17"/>
  <c r="K45" i="17"/>
  <c r="L45" i="17"/>
  <c r="J46" i="17"/>
  <c r="K46" i="17"/>
  <c r="L46" i="17"/>
  <c r="J47" i="17"/>
  <c r="K47" i="17"/>
  <c r="L47" i="17"/>
  <c r="J48" i="17"/>
  <c r="K48" i="17"/>
  <c r="L48" i="17"/>
  <c r="J49" i="17"/>
  <c r="K49" i="17"/>
  <c r="L49" i="17"/>
  <c r="J50" i="17"/>
  <c r="K50" i="17"/>
  <c r="L50" i="17"/>
  <c r="J51" i="17"/>
  <c r="K51" i="17"/>
  <c r="L51" i="17"/>
  <c r="J52" i="17"/>
  <c r="K52" i="17"/>
  <c r="L52" i="17"/>
  <c r="J53" i="17"/>
  <c r="K53" i="17"/>
  <c r="L53" i="17"/>
  <c r="J54" i="17"/>
  <c r="K54" i="17"/>
  <c r="L54" i="17"/>
  <c r="J55" i="17"/>
  <c r="K55" i="17"/>
  <c r="L55" i="17"/>
  <c r="J56" i="17"/>
  <c r="K56" i="17"/>
  <c r="L56" i="17"/>
  <c r="J57" i="17"/>
  <c r="K57" i="17"/>
  <c r="L57" i="17"/>
  <c r="J58" i="17"/>
  <c r="K58" i="17"/>
  <c r="L58" i="17"/>
  <c r="J59" i="17"/>
  <c r="K59" i="17"/>
  <c r="L59" i="17"/>
  <c r="J60" i="17"/>
  <c r="K60" i="17"/>
  <c r="L60" i="17"/>
  <c r="J61" i="17"/>
  <c r="K61" i="17"/>
  <c r="L61" i="17"/>
  <c r="J62" i="17"/>
  <c r="K62" i="17"/>
  <c r="L62" i="17"/>
  <c r="J63" i="17"/>
  <c r="K63" i="17"/>
  <c r="L63" i="17"/>
  <c r="J64" i="17"/>
  <c r="K64" i="17"/>
  <c r="L64" i="17"/>
  <c r="J65" i="17"/>
  <c r="K65" i="17"/>
  <c r="L65" i="17"/>
  <c r="J66" i="17"/>
  <c r="K66" i="17"/>
  <c r="L66" i="17"/>
  <c r="J67" i="17"/>
  <c r="K67" i="17"/>
  <c r="L67" i="17"/>
  <c r="J68" i="17"/>
  <c r="K68" i="17"/>
  <c r="L68" i="17"/>
  <c r="J69" i="17"/>
  <c r="K69" i="17"/>
  <c r="L69" i="17"/>
  <c r="J70" i="17"/>
  <c r="K70" i="17"/>
  <c r="L70" i="17"/>
  <c r="J71" i="17"/>
  <c r="K71" i="17"/>
  <c r="L71" i="17"/>
  <c r="J72" i="17"/>
  <c r="K72" i="17"/>
  <c r="L72" i="17"/>
  <c r="J73" i="17"/>
  <c r="K73" i="17"/>
  <c r="L73" i="17"/>
  <c r="K204" i="17"/>
  <c r="L204" i="17"/>
  <c r="M204" i="17"/>
  <c r="J74" i="17"/>
  <c r="K74" i="17"/>
  <c r="L74" i="17"/>
  <c r="J75" i="17"/>
  <c r="K75" i="17"/>
  <c r="L75" i="17"/>
  <c r="J76" i="17"/>
  <c r="K76" i="17"/>
  <c r="L76" i="17"/>
  <c r="J77" i="17"/>
  <c r="K77" i="17"/>
  <c r="L77" i="17"/>
  <c r="J78" i="17"/>
  <c r="K78" i="17"/>
  <c r="L78" i="17"/>
  <c r="J79" i="17"/>
  <c r="K79" i="17"/>
  <c r="L79" i="17"/>
  <c r="K203" i="17"/>
  <c r="L203" i="17"/>
  <c r="M203" i="17"/>
  <c r="J80" i="17"/>
  <c r="K80" i="17"/>
  <c r="L80" i="17"/>
  <c r="J81" i="17"/>
  <c r="K81" i="17"/>
  <c r="L81" i="17"/>
  <c r="J82" i="17"/>
  <c r="K82" i="17"/>
  <c r="L82" i="17"/>
  <c r="J83" i="17"/>
  <c r="K83" i="17"/>
  <c r="L83" i="17"/>
  <c r="J84" i="17"/>
  <c r="K84" i="17"/>
  <c r="L84" i="17"/>
  <c r="J85" i="17"/>
  <c r="K85" i="17"/>
  <c r="L85" i="17"/>
  <c r="J86" i="17"/>
  <c r="K86" i="17"/>
  <c r="L86" i="17"/>
  <c r="J87" i="17"/>
  <c r="K87" i="17"/>
  <c r="L87" i="17"/>
  <c r="J88" i="17"/>
  <c r="K88" i="17"/>
  <c r="L88" i="17"/>
  <c r="J89" i="17"/>
  <c r="K89" i="17"/>
  <c r="L89" i="17"/>
  <c r="J90" i="17"/>
  <c r="K90" i="17"/>
  <c r="L90" i="17"/>
  <c r="J91" i="17"/>
  <c r="K91" i="17"/>
  <c r="L91" i="17"/>
  <c r="J92" i="17"/>
  <c r="K92" i="17"/>
  <c r="L92" i="17"/>
  <c r="J93" i="17"/>
  <c r="K93" i="17"/>
  <c r="L93" i="17"/>
  <c r="J94" i="17"/>
  <c r="K94" i="17"/>
  <c r="L94" i="17"/>
  <c r="J95" i="17"/>
  <c r="K95" i="17"/>
  <c r="L95" i="17"/>
  <c r="J96" i="17"/>
  <c r="K96" i="17"/>
  <c r="L96" i="17"/>
  <c r="J97" i="17"/>
  <c r="K97" i="17"/>
  <c r="L97" i="17"/>
  <c r="J98" i="17"/>
  <c r="K98" i="17"/>
  <c r="L98" i="17"/>
  <c r="J99" i="17"/>
  <c r="K99" i="17"/>
  <c r="L99" i="17"/>
  <c r="J100" i="17"/>
  <c r="K100" i="17"/>
  <c r="L100" i="17"/>
  <c r="J101" i="17"/>
  <c r="K101" i="17"/>
  <c r="L101" i="17"/>
  <c r="J102" i="17"/>
  <c r="K102" i="17"/>
  <c r="L102" i="17"/>
  <c r="J103" i="17"/>
  <c r="K103" i="17"/>
  <c r="L103" i="17"/>
  <c r="J104" i="17"/>
  <c r="K104" i="17"/>
  <c r="L104" i="17"/>
  <c r="J105" i="17"/>
  <c r="K105" i="17"/>
  <c r="L105" i="17"/>
  <c r="J106" i="17"/>
  <c r="K106" i="17"/>
  <c r="L106" i="17"/>
  <c r="J107" i="17"/>
  <c r="K107" i="17"/>
  <c r="L107" i="17"/>
  <c r="J108" i="17"/>
  <c r="K108" i="17"/>
  <c r="L108" i="17"/>
  <c r="J109" i="17"/>
  <c r="K109" i="17"/>
  <c r="L109" i="17"/>
  <c r="J110" i="17"/>
  <c r="K110" i="17"/>
  <c r="L110" i="17"/>
  <c r="J111" i="17"/>
  <c r="K111" i="17"/>
  <c r="L111" i="17"/>
  <c r="J112" i="17"/>
  <c r="K112" i="17"/>
  <c r="L112" i="17"/>
  <c r="J113" i="17"/>
  <c r="K113" i="17"/>
  <c r="L113" i="17"/>
  <c r="J114" i="17"/>
  <c r="K114" i="17"/>
  <c r="L114" i="17"/>
  <c r="J115" i="17"/>
  <c r="K115" i="17"/>
  <c r="L115" i="17"/>
  <c r="J116" i="17"/>
  <c r="K116" i="17"/>
  <c r="L116" i="17"/>
  <c r="J117" i="17"/>
  <c r="K117" i="17"/>
  <c r="L117" i="17"/>
  <c r="J118" i="17"/>
  <c r="K118" i="17"/>
  <c r="L118" i="17"/>
  <c r="J119" i="17"/>
  <c r="K119" i="17"/>
  <c r="L119" i="17"/>
  <c r="J120" i="17"/>
  <c r="K120" i="17"/>
  <c r="L120" i="17"/>
  <c r="J121" i="17"/>
  <c r="K121" i="17"/>
  <c r="L121" i="17"/>
  <c r="J122" i="17"/>
  <c r="K122" i="17"/>
  <c r="L122" i="17"/>
  <c r="J123" i="17"/>
  <c r="K123" i="17"/>
  <c r="L123" i="17"/>
  <c r="J124" i="17"/>
  <c r="K124" i="17"/>
  <c r="L124" i="17"/>
  <c r="J125" i="17"/>
  <c r="K125" i="17"/>
  <c r="L125" i="17"/>
  <c r="J126" i="17"/>
  <c r="K126" i="17"/>
  <c r="L126" i="17"/>
  <c r="J127" i="17"/>
  <c r="K127" i="17"/>
  <c r="L127" i="17"/>
  <c r="J128" i="17"/>
  <c r="K128" i="17"/>
  <c r="L128" i="17"/>
  <c r="J129" i="17"/>
  <c r="K129" i="17"/>
  <c r="L129" i="17"/>
  <c r="J130" i="17"/>
  <c r="K130" i="17"/>
  <c r="L130" i="17"/>
  <c r="J131" i="17"/>
  <c r="K131" i="17"/>
  <c r="L131" i="17"/>
  <c r="J132" i="17"/>
  <c r="K132" i="17"/>
  <c r="L132" i="17"/>
  <c r="J133" i="17"/>
  <c r="K133" i="17"/>
  <c r="L133" i="17"/>
  <c r="K134" i="17"/>
  <c r="L134" i="17"/>
  <c r="K135" i="17"/>
  <c r="L135" i="17"/>
  <c r="K136" i="17"/>
  <c r="L136" i="17"/>
  <c r="K137" i="17"/>
  <c r="L137" i="17"/>
  <c r="K138" i="17"/>
  <c r="L138" i="17"/>
  <c r="K139" i="17"/>
  <c r="L139" i="17"/>
  <c r="K140" i="17"/>
  <c r="L140" i="17"/>
  <c r="K141" i="17"/>
  <c r="L141" i="17"/>
  <c r="K142" i="17"/>
  <c r="L142" i="17"/>
  <c r="K143" i="17"/>
  <c r="L143" i="17"/>
  <c r="K144" i="17"/>
  <c r="L144" i="17"/>
  <c r="K145" i="17"/>
  <c r="L145" i="17"/>
  <c r="K146" i="17"/>
  <c r="L146" i="17"/>
  <c r="K147" i="17"/>
  <c r="L147" i="17"/>
  <c r="K148" i="17"/>
  <c r="L148" i="17"/>
  <c r="L15" i="16"/>
  <c r="L2" i="17"/>
  <c r="K2" i="17"/>
  <c r="J2" i="17"/>
  <c r="M141" i="17" l="1"/>
  <c r="M24" i="17"/>
  <c r="V181" i="17" s="1"/>
  <c r="M25" i="17"/>
  <c r="M26" i="17"/>
  <c r="V182" i="17" s="1"/>
  <c r="M105" i="17"/>
  <c r="M51" i="17"/>
  <c r="V187" i="17" s="1"/>
  <c r="M44" i="17"/>
  <c r="V178" i="17" s="1"/>
  <c r="M40" i="17"/>
  <c r="V186" i="17" s="1"/>
  <c r="M36" i="17"/>
  <c r="M28" i="17"/>
  <c r="M21" i="17"/>
  <c r="V180" i="17" s="1"/>
  <c r="M13" i="17"/>
  <c r="M9" i="17"/>
  <c r="M5" i="17"/>
  <c r="V176" i="17" s="1"/>
  <c r="M140" i="17"/>
  <c r="M142" i="17"/>
  <c r="M52" i="17"/>
  <c r="M45" i="17"/>
  <c r="M29" i="17"/>
  <c r="M146" i="17"/>
  <c r="W141" i="1" s="1"/>
  <c r="X141" i="1" s="1"/>
  <c r="Y141" i="1" s="1"/>
  <c r="M143" i="17"/>
  <c r="M99" i="17"/>
  <c r="V196" i="17" s="1"/>
  <c r="M95" i="17"/>
  <c r="M91" i="17"/>
  <c r="M87" i="17"/>
  <c r="M83" i="17"/>
  <c r="N203" i="17"/>
  <c r="M76" i="17"/>
  <c r="M73" i="17"/>
  <c r="M69" i="17"/>
  <c r="M61" i="17"/>
  <c r="M57" i="17"/>
  <c r="M53" i="17"/>
  <c r="M49" i="17"/>
  <c r="M30" i="17"/>
  <c r="V183" i="17" s="1"/>
  <c r="M137" i="17"/>
  <c r="M128" i="17"/>
  <c r="M124" i="17"/>
  <c r="M121" i="17"/>
  <c r="M116" i="17"/>
  <c r="M112" i="17"/>
  <c r="M108" i="17"/>
  <c r="M50" i="17"/>
  <c r="M31" i="17"/>
  <c r="V184" i="17" s="1"/>
  <c r="M4" i="17"/>
  <c r="M134" i="17"/>
  <c r="M113" i="17"/>
  <c r="V198" i="17" s="1"/>
  <c r="M100" i="17"/>
  <c r="M92" i="17"/>
  <c r="M148" i="17"/>
  <c r="X84" i="1" s="1"/>
  <c r="Y84" i="1" s="1"/>
  <c r="W82" i="1"/>
  <c r="X82" i="1" s="1"/>
  <c r="Y82" i="1" s="1"/>
  <c r="M135" i="17"/>
  <c r="M130" i="17"/>
  <c r="M126" i="17"/>
  <c r="M118" i="17"/>
  <c r="M114" i="17"/>
  <c r="V199" i="17" s="1"/>
  <c r="M110" i="17"/>
  <c r="M102" i="17"/>
  <c r="V197" i="17" s="1"/>
  <c r="M97" i="17"/>
  <c r="M93" i="17"/>
  <c r="M89" i="17"/>
  <c r="M85" i="17"/>
  <c r="M81" i="17"/>
  <c r="M78" i="17"/>
  <c r="V194" i="17" s="1"/>
  <c r="M74" i="17"/>
  <c r="M71" i="17"/>
  <c r="M67" i="17"/>
  <c r="V192" i="17" s="1"/>
  <c r="M64" i="17"/>
  <c r="M59" i="17"/>
  <c r="V189" i="17" s="1"/>
  <c r="M55" i="17"/>
  <c r="M47" i="17"/>
  <c r="V200" i="17" s="1"/>
  <c r="M42" i="17"/>
  <c r="M38" i="17"/>
  <c r="M34" i="17"/>
  <c r="V185" i="17" s="1"/>
  <c r="M19" i="17"/>
  <c r="M15" i="17"/>
  <c r="M11" i="17"/>
  <c r="M7" i="17"/>
  <c r="V177" i="17" s="1"/>
  <c r="M145" i="17"/>
  <c r="X11" i="1" s="1"/>
  <c r="Y11" i="1" s="1"/>
  <c r="M136" i="17"/>
  <c r="M132" i="17"/>
  <c r="M127" i="17"/>
  <c r="M119" i="17"/>
  <c r="M115" i="17"/>
  <c r="M111" i="17"/>
  <c r="M107" i="17"/>
  <c r="M103" i="17"/>
  <c r="M98" i="17"/>
  <c r="V195" i="17" s="1"/>
  <c r="M94" i="17"/>
  <c r="M90" i="17"/>
  <c r="M86" i="17"/>
  <c r="M82" i="17"/>
  <c r="M79" i="17"/>
  <c r="M75" i="17"/>
  <c r="V193" i="17" s="1"/>
  <c r="M72" i="17"/>
  <c r="M68" i="17"/>
  <c r="M60" i="17"/>
  <c r="V190" i="17" s="1"/>
  <c r="M56" i="17"/>
  <c r="M43" i="17"/>
  <c r="M39" i="17"/>
  <c r="W38" i="1" s="1"/>
  <c r="M35" i="17"/>
  <c r="M27" i="17"/>
  <c r="M20" i="17"/>
  <c r="M16" i="17"/>
  <c r="M12" i="17"/>
  <c r="M8" i="17"/>
  <c r="M147" i="17"/>
  <c r="W85" i="1" s="1"/>
  <c r="X85" i="1" s="1"/>
  <c r="Y85" i="1" s="1"/>
  <c r="M138" i="17"/>
  <c r="M129" i="17"/>
  <c r="M125" i="17"/>
  <c r="M117" i="17"/>
  <c r="V179" i="17" s="1"/>
  <c r="M109" i="17"/>
  <c r="W134" i="1" s="1"/>
  <c r="M96" i="17"/>
  <c r="M88" i="17"/>
  <c r="M84" i="17"/>
  <c r="M80" i="17"/>
  <c r="M77" i="17"/>
  <c r="N204" i="17"/>
  <c r="M70" i="17"/>
  <c r="M62" i="17"/>
  <c r="V191" i="17" s="1"/>
  <c r="M58" i="17"/>
  <c r="V188" i="17" s="1"/>
  <c r="M41" i="17"/>
  <c r="M37" i="17"/>
  <c r="M33" i="17"/>
  <c r="M22" i="17"/>
  <c r="M18" i="17"/>
  <c r="M14" i="17"/>
  <c r="M10" i="17"/>
  <c r="M133" i="17"/>
  <c r="M131" i="17"/>
  <c r="M101" i="17"/>
  <c r="M63" i="17"/>
  <c r="M139" i="17"/>
  <c r="M122" i="17"/>
  <c r="M104" i="17"/>
  <c r="M65" i="17"/>
  <c r="M48" i="17"/>
  <c r="M23" i="17"/>
  <c r="M3" i="17"/>
  <c r="M120" i="17"/>
  <c r="M46" i="17"/>
  <c r="M17" i="17"/>
  <c r="M144" i="17"/>
  <c r="M123" i="17"/>
  <c r="M106" i="17"/>
  <c r="M66" i="17"/>
  <c r="M54" i="17"/>
  <c r="M32" i="17"/>
  <c r="M6" i="17"/>
  <c r="M2" i="17"/>
  <c r="X38" i="1" l="1"/>
  <c r="Y38" i="1" s="1"/>
  <c r="M140" i="16"/>
  <c r="N140" i="16"/>
  <c r="M141" i="16"/>
  <c r="N141" i="16"/>
  <c r="M142" i="16"/>
  <c r="N142" i="16"/>
  <c r="M143" i="16"/>
  <c r="N143" i="16"/>
  <c r="M144" i="16"/>
  <c r="N144" i="16"/>
  <c r="M145" i="16"/>
  <c r="N145" i="16"/>
  <c r="M146" i="16"/>
  <c r="N146" i="16"/>
  <c r="M147" i="16"/>
  <c r="N147" i="16"/>
  <c r="L139" i="16"/>
  <c r="L140" i="16"/>
  <c r="L141" i="16"/>
  <c r="L142" i="16"/>
  <c r="L143" i="16"/>
  <c r="L144" i="16"/>
  <c r="L145" i="16"/>
  <c r="L146" i="16"/>
  <c r="L147" i="16"/>
  <c r="J64" i="2"/>
  <c r="J63" i="2"/>
  <c r="J62" i="2"/>
  <c r="H61" i="2"/>
  <c r="J61" i="2" s="1"/>
  <c r="J60" i="2"/>
  <c r="J54" i="2"/>
  <c r="J53" i="2"/>
  <c r="J52" i="2"/>
  <c r="J51" i="2"/>
  <c r="J50" i="2"/>
  <c r="J49" i="2"/>
  <c r="J48" i="2"/>
  <c r="H47" i="2"/>
  <c r="J47" i="2" s="1"/>
  <c r="J46" i="2"/>
  <c r="H45" i="2"/>
  <c r="J45" i="2" s="1"/>
  <c r="H44" i="2"/>
  <c r="J44" i="2" s="1"/>
  <c r="J43" i="2"/>
  <c r="J42" i="2"/>
  <c r="I41" i="2"/>
  <c r="H41" i="2"/>
  <c r="J41" i="2" s="1"/>
  <c r="J40" i="2"/>
  <c r="H39" i="2"/>
  <c r="J39" i="2" s="1"/>
  <c r="H38" i="2"/>
  <c r="J38" i="2" s="1"/>
  <c r="J37" i="2"/>
  <c r="J36" i="2"/>
  <c r="J35" i="2"/>
  <c r="H34" i="2"/>
  <c r="J34" i="2" s="1"/>
  <c r="J33" i="2"/>
  <c r="J32" i="2"/>
  <c r="H31" i="2"/>
  <c r="J31" i="2" s="1"/>
  <c r="J30" i="2"/>
  <c r="H29" i="2"/>
  <c r="J29" i="2" s="1"/>
  <c r="H28" i="2"/>
  <c r="J28" i="2" s="1"/>
  <c r="J27" i="2"/>
  <c r="J26" i="2"/>
  <c r="J25" i="2"/>
  <c r="J24" i="2"/>
  <c r="J23" i="2"/>
  <c r="J22" i="2"/>
  <c r="J21" i="2"/>
  <c r="J20" i="2"/>
  <c r="J19" i="2"/>
  <c r="J18" i="2"/>
  <c r="J17" i="2"/>
  <c r="H17" i="2"/>
  <c r="I16" i="2"/>
  <c r="H16" i="2"/>
  <c r="J15" i="2"/>
  <c r="J14" i="2"/>
  <c r="H14" i="2"/>
  <c r="H13" i="2"/>
  <c r="J13" i="2" s="1"/>
  <c r="J12" i="2"/>
  <c r="H12" i="2"/>
  <c r="H11" i="2"/>
  <c r="J11" i="2" s="1"/>
  <c r="J10" i="2"/>
  <c r="H10" i="2"/>
  <c r="J9" i="2"/>
  <c r="J8" i="2"/>
  <c r="J6" i="2"/>
  <c r="H5" i="2"/>
  <c r="J5" i="2" s="1"/>
  <c r="H4" i="2"/>
  <c r="J4" i="2" s="1"/>
  <c r="H3" i="2"/>
  <c r="J3" i="2" s="1"/>
  <c r="I67" i="3"/>
  <c r="H67" i="3"/>
  <c r="I66" i="3"/>
  <c r="H66" i="3"/>
  <c r="J66" i="3" s="1"/>
  <c r="I65" i="3"/>
  <c r="H65" i="3"/>
  <c r="I64" i="3"/>
  <c r="H64" i="3"/>
  <c r="J64" i="3" s="1"/>
  <c r="I63" i="3"/>
  <c r="H63" i="3"/>
  <c r="J63" i="3" s="1"/>
  <c r="I52" i="3"/>
  <c r="H52" i="3"/>
  <c r="J52" i="3" s="1"/>
  <c r="I51" i="3"/>
  <c r="H51" i="3"/>
  <c r="J51" i="3" s="1"/>
  <c r="I50" i="3"/>
  <c r="H50" i="3"/>
  <c r="J50" i="3" s="1"/>
  <c r="I49" i="3"/>
  <c r="H49" i="3"/>
  <c r="J49" i="3" s="1"/>
  <c r="J48" i="3"/>
  <c r="I48" i="3"/>
  <c r="H48" i="3"/>
  <c r="I47" i="3"/>
  <c r="H47" i="3"/>
  <c r="J47" i="3" s="1"/>
  <c r="I46" i="3"/>
  <c r="H46" i="3"/>
  <c r="J46" i="3" s="1"/>
  <c r="I45" i="3"/>
  <c r="H45" i="3"/>
  <c r="J45" i="3" s="1"/>
  <c r="I44" i="3"/>
  <c r="H44" i="3"/>
  <c r="J44" i="3" s="1"/>
  <c r="I43" i="3"/>
  <c r="H43" i="3"/>
  <c r="I42" i="3"/>
  <c r="H42" i="3"/>
  <c r="J42" i="3" s="1"/>
  <c r="I41" i="3"/>
  <c r="H41" i="3"/>
  <c r="I40" i="3"/>
  <c r="H40" i="3"/>
  <c r="J40" i="3" s="1"/>
  <c r="I39" i="3"/>
  <c r="H39" i="3"/>
  <c r="I38" i="3"/>
  <c r="H38" i="3"/>
  <c r="J38" i="3" s="1"/>
  <c r="I37" i="3"/>
  <c r="H37" i="3"/>
  <c r="J37" i="3" s="1"/>
  <c r="I36" i="3"/>
  <c r="H36" i="3"/>
  <c r="J36" i="3" s="1"/>
  <c r="I35" i="3"/>
  <c r="H35" i="3"/>
  <c r="J35" i="3" s="1"/>
  <c r="I34" i="3"/>
  <c r="H34" i="3"/>
  <c r="I33" i="3"/>
  <c r="H33" i="3"/>
  <c r="J33" i="3" s="1"/>
  <c r="I32" i="3"/>
  <c r="H32" i="3"/>
  <c r="J32" i="3" s="1"/>
  <c r="I31" i="3"/>
  <c r="H31" i="3"/>
  <c r="J31" i="3" s="1"/>
  <c r="I30" i="3"/>
  <c r="H30" i="3"/>
  <c r="J30" i="3" s="1"/>
  <c r="I29" i="3"/>
  <c r="H29" i="3"/>
  <c r="J29" i="3" s="1"/>
  <c r="I28" i="3"/>
  <c r="H28" i="3"/>
  <c r="J28" i="3" s="1"/>
  <c r="I27" i="3"/>
  <c r="H27" i="3"/>
  <c r="I26" i="3"/>
  <c r="H26" i="3"/>
  <c r="J26" i="3" s="1"/>
  <c r="I25" i="3"/>
  <c r="H25" i="3"/>
  <c r="I24" i="3"/>
  <c r="H24" i="3"/>
  <c r="J24" i="3" s="1"/>
  <c r="I23" i="3"/>
  <c r="H23" i="3"/>
  <c r="I22" i="3"/>
  <c r="H22" i="3"/>
  <c r="I21" i="3"/>
  <c r="H21" i="3"/>
  <c r="I20" i="3"/>
  <c r="J20" i="3" s="1"/>
  <c r="H20" i="3"/>
  <c r="I19" i="3"/>
  <c r="H19" i="3"/>
  <c r="J19" i="3" s="1"/>
  <c r="I18" i="3"/>
  <c r="H18" i="3"/>
  <c r="I17" i="3"/>
  <c r="H17" i="3"/>
  <c r="J17" i="3" s="1"/>
  <c r="J16" i="3"/>
  <c r="I16" i="3"/>
  <c r="H16" i="3"/>
  <c r="I15" i="3"/>
  <c r="H15" i="3"/>
  <c r="J15" i="3" s="1"/>
  <c r="I14" i="3"/>
  <c r="H14" i="3"/>
  <c r="I13" i="3"/>
  <c r="H13" i="3"/>
  <c r="J13" i="3" s="1"/>
  <c r="I12" i="3"/>
  <c r="H12" i="3"/>
  <c r="J12" i="3" s="1"/>
  <c r="I11" i="3"/>
  <c r="H11" i="3"/>
  <c r="I10" i="3"/>
  <c r="H10" i="3"/>
  <c r="J10" i="3" s="1"/>
  <c r="I9" i="3"/>
  <c r="H9" i="3"/>
  <c r="J9" i="3" s="1"/>
  <c r="I8" i="3"/>
  <c r="H8" i="3"/>
  <c r="J8" i="3" s="1"/>
  <c r="I7" i="3"/>
  <c r="H7" i="3"/>
  <c r="I5" i="3"/>
  <c r="H5" i="3"/>
  <c r="J5" i="3" s="1"/>
  <c r="I4" i="3"/>
  <c r="H4" i="3"/>
  <c r="J4" i="3" s="1"/>
  <c r="I3" i="3"/>
  <c r="H3" i="3"/>
  <c r="J3" i="3" s="1"/>
  <c r="I2" i="3"/>
  <c r="H2" i="3"/>
  <c r="J2" i="3" s="1"/>
  <c r="G66" i="4"/>
  <c r="I66" i="4" s="1"/>
  <c r="G65" i="4"/>
  <c r="I65" i="4" s="1"/>
  <c r="I64" i="4"/>
  <c r="I63" i="4"/>
  <c r="G62" i="4"/>
  <c r="I62" i="4" s="1"/>
  <c r="G53" i="4"/>
  <c r="I53" i="4" s="1"/>
  <c r="G52" i="4"/>
  <c r="I52" i="4" s="1"/>
  <c r="G51" i="4"/>
  <c r="I51" i="4" s="1"/>
  <c r="G50" i="4"/>
  <c r="I50" i="4" s="1"/>
  <c r="G49" i="4"/>
  <c r="I49" i="4" s="1"/>
  <c r="I48" i="4"/>
  <c r="G48" i="4"/>
  <c r="G47" i="4"/>
  <c r="I47" i="4" s="1"/>
  <c r="I46" i="4"/>
  <c r="G46" i="4"/>
  <c r="H45" i="4"/>
  <c r="G45" i="4"/>
  <c r="I44" i="4"/>
  <c r="I43" i="4"/>
  <c r="I42" i="4"/>
  <c r="G41" i="4"/>
  <c r="I41" i="4" s="1"/>
  <c r="I40" i="4"/>
  <c r="I39" i="4"/>
  <c r="G38" i="4"/>
  <c r="I38" i="4" s="1"/>
  <c r="I37" i="4"/>
  <c r="I36" i="4"/>
  <c r="I35" i="4"/>
  <c r="I34" i="4"/>
  <c r="I33" i="4"/>
  <c r="I32" i="4"/>
  <c r="I31" i="4"/>
  <c r="G30" i="4"/>
  <c r="I30" i="4" s="1"/>
  <c r="G29" i="4"/>
  <c r="I29" i="4" s="1"/>
  <c r="G28" i="4"/>
  <c r="I28" i="4" s="1"/>
  <c r="I27" i="4"/>
  <c r="I26" i="4"/>
  <c r="I25" i="4"/>
  <c r="I24" i="4"/>
  <c r="G23" i="4"/>
  <c r="I23" i="4" s="1"/>
  <c r="I22" i="4"/>
  <c r="I21" i="4"/>
  <c r="G21" i="4"/>
  <c r="I20" i="4"/>
  <c r="G20" i="4"/>
  <c r="G19" i="4"/>
  <c r="I19" i="4" s="1"/>
  <c r="I18" i="4"/>
  <c r="G18" i="4"/>
  <c r="H17" i="4"/>
  <c r="G17" i="4"/>
  <c r="I17" i="4" s="1"/>
  <c r="G16" i="4"/>
  <c r="I16" i="4" s="1"/>
  <c r="H15" i="4"/>
  <c r="G15" i="4"/>
  <c r="G14" i="4"/>
  <c r="I14" i="4" s="1"/>
  <c r="G13" i="4"/>
  <c r="I13" i="4" s="1"/>
  <c r="G12" i="4"/>
  <c r="I12" i="4" s="1"/>
  <c r="G11" i="4"/>
  <c r="I11" i="4" s="1"/>
  <c r="H10" i="4"/>
  <c r="G10" i="4"/>
  <c r="I10" i="4" s="1"/>
  <c r="I9" i="4"/>
  <c r="G8" i="4"/>
  <c r="I8" i="4" s="1"/>
  <c r="I7" i="4"/>
  <c r="G6" i="4"/>
  <c r="I6" i="4" s="1"/>
  <c r="H5" i="4"/>
  <c r="G5" i="4"/>
  <c r="I5" i="4" s="1"/>
  <c r="G4" i="4"/>
  <c r="I4" i="4" s="1"/>
  <c r="G3" i="4"/>
  <c r="I3" i="4" s="1"/>
  <c r="I73" i="5"/>
  <c r="I72" i="5"/>
  <c r="I71" i="5"/>
  <c r="I70" i="5"/>
  <c r="G69" i="5"/>
  <c r="I69" i="5" s="1"/>
  <c r="I61" i="5"/>
  <c r="I108" i="1" s="1"/>
  <c r="I60" i="5"/>
  <c r="I134" i="1" s="1"/>
  <c r="I59" i="5"/>
  <c r="I58" i="5"/>
  <c r="I57" i="5"/>
  <c r="I133" i="1" s="1"/>
  <c r="G56" i="5"/>
  <c r="I56" i="5" s="1"/>
  <c r="G55" i="5"/>
  <c r="I55" i="5" s="1"/>
  <c r="I132" i="1" s="1"/>
  <c r="I54" i="5"/>
  <c r="I109" i="1" s="1"/>
  <c r="G53" i="5"/>
  <c r="I53" i="5" s="1"/>
  <c r="G52" i="5"/>
  <c r="I52" i="5" s="1"/>
  <c r="I131" i="1" s="1"/>
  <c r="G51" i="5"/>
  <c r="I51" i="5" s="1"/>
  <c r="I50" i="5"/>
  <c r="I130" i="1" s="1"/>
  <c r="I49" i="5"/>
  <c r="I119" i="1" s="1"/>
  <c r="I48" i="5"/>
  <c r="G47" i="5"/>
  <c r="I47" i="5" s="1"/>
  <c r="I126" i="1" s="1"/>
  <c r="I44" i="5"/>
  <c r="I43" i="5"/>
  <c r="I115" i="1" s="1"/>
  <c r="G43" i="5"/>
  <c r="I42" i="5"/>
  <c r="G41" i="5"/>
  <c r="I41" i="5" s="1"/>
  <c r="I114" i="1" s="1"/>
  <c r="I40" i="5"/>
  <c r="I107" i="1" s="1"/>
  <c r="I39" i="5"/>
  <c r="G38" i="5"/>
  <c r="I38" i="5" s="1"/>
  <c r="I106" i="1" s="1"/>
  <c r="I37" i="5"/>
  <c r="I105" i="1" s="1"/>
  <c r="I36" i="5"/>
  <c r="H35" i="5"/>
  <c r="G35" i="5"/>
  <c r="I35" i="5" s="1"/>
  <c r="I34" i="5"/>
  <c r="I33" i="5"/>
  <c r="I32" i="5"/>
  <c r="I31" i="5"/>
  <c r="I30" i="5"/>
  <c r="K180" i="17" s="1"/>
  <c r="I29" i="5"/>
  <c r="I28" i="5"/>
  <c r="I27" i="5"/>
  <c r="I26" i="5"/>
  <c r="I25" i="5"/>
  <c r="I24" i="5"/>
  <c r="I27" i="1" s="1"/>
  <c r="I23" i="5"/>
  <c r="G22" i="5"/>
  <c r="I22" i="5" s="1"/>
  <c r="I21" i="5"/>
  <c r="G21" i="5"/>
  <c r="I20" i="5"/>
  <c r="I19" i="5"/>
  <c r="G18" i="5"/>
  <c r="I18" i="5" s="1"/>
  <c r="G17" i="5"/>
  <c r="I17" i="5" s="1"/>
  <c r="G16" i="5"/>
  <c r="I16" i="5" s="1"/>
  <c r="I23" i="1" s="1"/>
  <c r="G15" i="5"/>
  <c r="I15" i="5" s="1"/>
  <c r="G14" i="5"/>
  <c r="I14" i="5" s="1"/>
  <c r="I13" i="5"/>
  <c r="I22" i="1" s="1"/>
  <c r="I12" i="5"/>
  <c r="I21" i="1" s="1"/>
  <c r="I11" i="5"/>
  <c r="I18" i="1" s="1"/>
  <c r="G10" i="5"/>
  <c r="I10" i="5" s="1"/>
  <c r="I17" i="1" s="1"/>
  <c r="G9" i="5"/>
  <c r="I9" i="5" s="1"/>
  <c r="I16" i="1" s="1"/>
  <c r="G8" i="5"/>
  <c r="I8" i="5" s="1"/>
  <c r="G7" i="5"/>
  <c r="I7" i="5" s="1"/>
  <c r="I14" i="1" s="1"/>
  <c r="G6" i="5"/>
  <c r="I6" i="5" s="1"/>
  <c r="K176" i="17" s="1"/>
  <c r="I5" i="5"/>
  <c r="G4" i="5"/>
  <c r="I4" i="5" s="1"/>
  <c r="G3" i="5"/>
  <c r="I3" i="5" s="1"/>
  <c r="I4" i="1" s="1"/>
  <c r="G2" i="5"/>
  <c r="I2" i="5" s="1"/>
  <c r="I88" i="6"/>
  <c r="I87" i="6"/>
  <c r="I86" i="6"/>
  <c r="I78" i="6"/>
  <c r="I77" i="6"/>
  <c r="I76" i="6"/>
  <c r="G75" i="6"/>
  <c r="I75" i="6" s="1"/>
  <c r="G74" i="6"/>
  <c r="I74" i="6" s="1"/>
  <c r="G73" i="6"/>
  <c r="I73" i="6" s="1"/>
  <c r="I72" i="6"/>
  <c r="I71" i="6"/>
  <c r="I70" i="6"/>
  <c r="I69" i="6"/>
  <c r="G68" i="6"/>
  <c r="I68" i="6" s="1"/>
  <c r="G67" i="6"/>
  <c r="I67" i="6" s="1"/>
  <c r="G66" i="6"/>
  <c r="I66" i="6" s="1"/>
  <c r="J30" i="1" s="1"/>
  <c r="G63" i="6"/>
  <c r="I63" i="6" s="1"/>
  <c r="I62" i="6"/>
  <c r="I61" i="6"/>
  <c r="G60" i="6"/>
  <c r="I60" i="6" s="1"/>
  <c r="I59" i="6"/>
  <c r="G58" i="6"/>
  <c r="I58" i="6" s="1"/>
  <c r="G57" i="6"/>
  <c r="I57" i="6" s="1"/>
  <c r="I56" i="6"/>
  <c r="I55" i="6"/>
  <c r="H54" i="6"/>
  <c r="G54" i="6"/>
  <c r="I53" i="6"/>
  <c r="G52" i="6"/>
  <c r="I52" i="6" s="1"/>
  <c r="G51" i="6"/>
  <c r="I51" i="6" s="1"/>
  <c r="G50" i="6"/>
  <c r="I50" i="6" s="1"/>
  <c r="H41" i="6"/>
  <c r="G41" i="6"/>
  <c r="I41" i="6" s="1"/>
  <c r="I40" i="6"/>
  <c r="I39" i="6"/>
  <c r="I38" i="6"/>
  <c r="G37" i="6"/>
  <c r="I37" i="6" s="1"/>
  <c r="L180" i="17" s="1"/>
  <c r="I36" i="6"/>
  <c r="H35" i="6"/>
  <c r="G35" i="6"/>
  <c r="I35" i="6" s="1"/>
  <c r="I34" i="6"/>
  <c r="I33" i="6"/>
  <c r="G32" i="6"/>
  <c r="I32" i="6" s="1"/>
  <c r="I31" i="6"/>
  <c r="I30" i="6"/>
  <c r="G29" i="6"/>
  <c r="I29" i="6" s="1"/>
  <c r="G28" i="6"/>
  <c r="I28" i="6" s="1"/>
  <c r="I27" i="6"/>
  <c r="I26" i="6"/>
  <c r="J27" i="1" s="1"/>
  <c r="G25" i="6"/>
  <c r="I25" i="6" s="1"/>
  <c r="G24" i="6"/>
  <c r="I24" i="6" s="1"/>
  <c r="G23" i="6"/>
  <c r="I23" i="6" s="1"/>
  <c r="G22" i="6"/>
  <c r="I22" i="6" s="1"/>
  <c r="G21" i="6"/>
  <c r="I21" i="6" s="1"/>
  <c r="G20" i="6"/>
  <c r="I20" i="6" s="1"/>
  <c r="G19" i="6"/>
  <c r="I19" i="6" s="1"/>
  <c r="J23" i="1" s="1"/>
  <c r="G18" i="6"/>
  <c r="I18" i="6" s="1"/>
  <c r="G17" i="6"/>
  <c r="I17" i="6" s="1"/>
  <c r="I16" i="6"/>
  <c r="J22" i="1" s="1"/>
  <c r="G15" i="6"/>
  <c r="I15" i="6" s="1"/>
  <c r="J21" i="1" s="1"/>
  <c r="H14" i="6"/>
  <c r="G14" i="6"/>
  <c r="I14" i="6" s="1"/>
  <c r="J18" i="1" s="1"/>
  <c r="G13" i="6"/>
  <c r="I13" i="6" s="1"/>
  <c r="J17" i="1" s="1"/>
  <c r="H12" i="6"/>
  <c r="G12" i="6"/>
  <c r="G11" i="6"/>
  <c r="I11" i="6" s="1"/>
  <c r="I9" i="6"/>
  <c r="J14" i="1" s="1"/>
  <c r="G9" i="6"/>
  <c r="G8" i="6"/>
  <c r="I8" i="6" s="1"/>
  <c r="I7" i="6"/>
  <c r="L176" i="17" s="1"/>
  <c r="H6" i="6"/>
  <c r="G6" i="6"/>
  <c r="I6" i="6" s="1"/>
  <c r="H3" i="6"/>
  <c r="I3" i="6" s="1"/>
  <c r="J4" i="1" s="1"/>
  <c r="G3" i="6"/>
  <c r="H2" i="6"/>
  <c r="G2" i="6"/>
  <c r="L94" i="7"/>
  <c r="L93" i="7"/>
  <c r="J92" i="7"/>
  <c r="L92" i="7" s="1"/>
  <c r="L91" i="7"/>
  <c r="J91" i="7"/>
  <c r="L90" i="7"/>
  <c r="L89" i="7"/>
  <c r="L88" i="7"/>
  <c r="K85" i="7"/>
  <c r="J85" i="7"/>
  <c r="K84" i="7"/>
  <c r="J84" i="7"/>
  <c r="L84" i="7" s="1"/>
  <c r="K83" i="7"/>
  <c r="J83" i="7"/>
  <c r="K82" i="7"/>
  <c r="J82" i="7"/>
  <c r="L82" i="7" s="1"/>
  <c r="K81" i="7"/>
  <c r="J81" i="7"/>
  <c r="K80" i="7"/>
  <c r="J80" i="7"/>
  <c r="L80" i="7" s="1"/>
  <c r="K79" i="7"/>
  <c r="J79" i="7"/>
  <c r="L79" i="7" s="1"/>
  <c r="K78" i="7"/>
  <c r="J78" i="7"/>
  <c r="L78" i="7" s="1"/>
  <c r="K77" i="7"/>
  <c r="J77" i="7"/>
  <c r="K76" i="7"/>
  <c r="J76" i="7"/>
  <c r="L76" i="7" s="1"/>
  <c r="K75" i="7"/>
  <c r="J75" i="7"/>
  <c r="L75" i="7" s="1"/>
  <c r="K74" i="7"/>
  <c r="J74" i="7"/>
  <c r="L74" i="7" s="1"/>
  <c r="K73" i="7"/>
  <c r="J73" i="7"/>
  <c r="K72" i="7"/>
  <c r="J72" i="7"/>
  <c r="L72" i="7" s="1"/>
  <c r="K71" i="7"/>
  <c r="J71" i="7"/>
  <c r="L71" i="7" s="1"/>
  <c r="K70" i="7"/>
  <c r="J70" i="7"/>
  <c r="L70" i="7" s="1"/>
  <c r="K69" i="7"/>
  <c r="J69" i="7"/>
  <c r="K68" i="7"/>
  <c r="J68" i="7"/>
  <c r="L68" i="7" s="1"/>
  <c r="K67" i="7"/>
  <c r="J67" i="7"/>
  <c r="L67" i="7" s="1"/>
  <c r="K66" i="7"/>
  <c r="J66" i="7"/>
  <c r="L66" i="7" s="1"/>
  <c r="K65" i="7"/>
  <c r="J65" i="7"/>
  <c r="K64" i="7"/>
  <c r="J64" i="7"/>
  <c r="L64" i="7" s="1"/>
  <c r="K63" i="7"/>
  <c r="J63" i="7"/>
  <c r="L63" i="7" s="1"/>
  <c r="K62" i="7"/>
  <c r="L62" i="7" s="1"/>
  <c r="J62" i="7"/>
  <c r="K61" i="7"/>
  <c r="J61" i="7"/>
  <c r="L61" i="7" s="1"/>
  <c r="K60" i="7"/>
  <c r="J60" i="7"/>
  <c r="K59" i="7"/>
  <c r="J59" i="7"/>
  <c r="L59" i="7" s="1"/>
  <c r="K58" i="7"/>
  <c r="J58" i="7"/>
  <c r="L58" i="7" s="1"/>
  <c r="K57" i="7"/>
  <c r="J57" i="7"/>
  <c r="K56" i="7"/>
  <c r="J56" i="7"/>
  <c r="L56" i="7" s="1"/>
  <c r="K55" i="7"/>
  <c r="J55" i="7"/>
  <c r="K54" i="7"/>
  <c r="J54" i="7"/>
  <c r="L54" i="7" s="1"/>
  <c r="K53" i="7"/>
  <c r="J53" i="7"/>
  <c r="K51" i="7"/>
  <c r="J51" i="7"/>
  <c r="L51" i="7" s="1"/>
  <c r="K50" i="7"/>
  <c r="J50" i="7"/>
  <c r="L50" i="7" s="1"/>
  <c r="K49" i="7"/>
  <c r="J49" i="7"/>
  <c r="L49" i="7" s="1"/>
  <c r="K48" i="7"/>
  <c r="J48" i="7"/>
  <c r="K47" i="7"/>
  <c r="J47" i="7"/>
  <c r="L47" i="7" s="1"/>
  <c r="K46" i="7"/>
  <c r="J46" i="7"/>
  <c r="L46" i="7" s="1"/>
  <c r="M181" i="17" s="1"/>
  <c r="K45" i="7"/>
  <c r="J45" i="7"/>
  <c r="L45" i="7" s="1"/>
  <c r="K44" i="7"/>
  <c r="J44" i="7"/>
  <c r="K43" i="7"/>
  <c r="J43" i="7"/>
  <c r="L43" i="7" s="1"/>
  <c r="K28" i="1" s="1"/>
  <c r="K42" i="7"/>
  <c r="J42" i="7"/>
  <c r="L42" i="7" s="1"/>
  <c r="K41" i="7"/>
  <c r="J41" i="7"/>
  <c r="L41" i="7" s="1"/>
  <c r="K40" i="7"/>
  <c r="J40" i="7"/>
  <c r="K39" i="7"/>
  <c r="J39" i="7"/>
  <c r="L39" i="7" s="1"/>
  <c r="K38" i="7"/>
  <c r="J38" i="7"/>
  <c r="L38" i="7" s="1"/>
  <c r="K29" i="1" s="1"/>
  <c r="K37" i="7"/>
  <c r="J37" i="7"/>
  <c r="L37" i="7" s="1"/>
  <c r="K36" i="7"/>
  <c r="J36" i="7"/>
  <c r="K35" i="7"/>
  <c r="J35" i="7"/>
  <c r="L35" i="7" s="1"/>
  <c r="K34" i="7"/>
  <c r="J34" i="7"/>
  <c r="L34" i="7" s="1"/>
  <c r="K33" i="7"/>
  <c r="J33" i="7"/>
  <c r="L33" i="7" s="1"/>
  <c r="K32" i="7"/>
  <c r="J32" i="7"/>
  <c r="K31" i="7"/>
  <c r="J31" i="7"/>
  <c r="L31" i="7" s="1"/>
  <c r="M180" i="17" s="1"/>
  <c r="K30" i="7"/>
  <c r="J30" i="7"/>
  <c r="L30" i="7" s="1"/>
  <c r="K29" i="7"/>
  <c r="J29" i="7"/>
  <c r="L29" i="7" s="1"/>
  <c r="K28" i="7"/>
  <c r="J28" i="7"/>
  <c r="L28" i="7" s="1"/>
  <c r="K27" i="7"/>
  <c r="J27" i="7"/>
  <c r="L27" i="7" s="1"/>
  <c r="K26" i="7"/>
  <c r="J26" i="7"/>
  <c r="L26" i="7" s="1"/>
  <c r="K25" i="7"/>
  <c r="J25" i="7"/>
  <c r="L25" i="7" s="1"/>
  <c r="K27" i="1" s="1"/>
  <c r="K24" i="7"/>
  <c r="J24" i="7"/>
  <c r="K23" i="7"/>
  <c r="J23" i="7"/>
  <c r="L23" i="7" s="1"/>
  <c r="K22" i="7"/>
  <c r="J22" i="7"/>
  <c r="K21" i="7"/>
  <c r="J21" i="7"/>
  <c r="L21" i="7" s="1"/>
  <c r="K20" i="7"/>
  <c r="J20" i="7"/>
  <c r="K19" i="7"/>
  <c r="J19" i="7"/>
  <c r="L19" i="7" s="1"/>
  <c r="K23" i="1" s="1"/>
  <c r="K18" i="7"/>
  <c r="J18" i="7"/>
  <c r="L18" i="7" s="1"/>
  <c r="K17" i="7"/>
  <c r="L17" i="7" s="1"/>
  <c r="K22" i="1" s="1"/>
  <c r="J17" i="7"/>
  <c r="K16" i="7"/>
  <c r="J16" i="7"/>
  <c r="K15" i="7"/>
  <c r="J15" i="7"/>
  <c r="K14" i="7"/>
  <c r="J14" i="7"/>
  <c r="L14" i="7" s="1"/>
  <c r="K17" i="1" s="1"/>
  <c r="K13" i="7"/>
  <c r="L13" i="7" s="1"/>
  <c r="K16" i="1" s="1"/>
  <c r="J13" i="7"/>
  <c r="K12" i="7"/>
  <c r="J12" i="7"/>
  <c r="K11" i="7"/>
  <c r="J11" i="7"/>
  <c r="K10" i="7"/>
  <c r="J10" i="7"/>
  <c r="L10" i="7" s="1"/>
  <c r="K14" i="1" s="1"/>
  <c r="K9" i="7"/>
  <c r="J9" i="7"/>
  <c r="L9" i="7" s="1"/>
  <c r="M176" i="17" s="1"/>
  <c r="K8" i="7"/>
  <c r="J8" i="7"/>
  <c r="K7" i="7"/>
  <c r="J7" i="7"/>
  <c r="L7" i="7" s="1"/>
  <c r="K6" i="7"/>
  <c r="J6" i="7"/>
  <c r="K5" i="7"/>
  <c r="J5" i="7"/>
  <c r="L5" i="7" s="1"/>
  <c r="K5" i="1" s="1"/>
  <c r="K4" i="7"/>
  <c r="J4" i="7"/>
  <c r="K3" i="7"/>
  <c r="J3" i="7"/>
  <c r="L3" i="7" s="1"/>
  <c r="K19" i="1" s="1"/>
  <c r="K2" i="7"/>
  <c r="L2" i="7" s="1"/>
  <c r="L88" i="8"/>
  <c r="K88" i="8"/>
  <c r="J88" i="8"/>
  <c r="M88" i="8" s="1"/>
  <c r="L87" i="8"/>
  <c r="K87" i="8"/>
  <c r="J87" i="8"/>
  <c r="L86" i="8"/>
  <c r="K86" i="8"/>
  <c r="J86" i="8"/>
  <c r="L85" i="8"/>
  <c r="K85" i="8"/>
  <c r="J85" i="8"/>
  <c r="M85" i="8" s="1"/>
  <c r="L84" i="8"/>
  <c r="K84" i="8"/>
  <c r="J84" i="8"/>
  <c r="M84" i="8" s="1"/>
  <c r="L83" i="8"/>
  <c r="K83" i="8"/>
  <c r="J83" i="8"/>
  <c r="L82" i="8"/>
  <c r="K82" i="8"/>
  <c r="J82" i="8"/>
  <c r="L81" i="8"/>
  <c r="K81" i="8"/>
  <c r="J81" i="8"/>
  <c r="M81" i="8" s="1"/>
  <c r="L80" i="8"/>
  <c r="K80" i="8"/>
  <c r="J80" i="8"/>
  <c r="M80" i="8" s="1"/>
  <c r="L79" i="8"/>
  <c r="K79" i="8"/>
  <c r="J79" i="8"/>
  <c r="L78" i="8"/>
  <c r="K78" i="8"/>
  <c r="J78" i="8"/>
  <c r="L77" i="8"/>
  <c r="K77" i="8"/>
  <c r="J77" i="8"/>
  <c r="M77" i="8" s="1"/>
  <c r="L76" i="8"/>
  <c r="K76" i="8"/>
  <c r="J76" i="8"/>
  <c r="M76" i="8" s="1"/>
  <c r="L75" i="8"/>
  <c r="K75" i="8"/>
  <c r="J75" i="8"/>
  <c r="L74" i="8"/>
  <c r="K74" i="8"/>
  <c r="J74" i="8"/>
  <c r="L73" i="8"/>
  <c r="K73" i="8"/>
  <c r="J73" i="8"/>
  <c r="M73" i="8" s="1"/>
  <c r="L72" i="8"/>
  <c r="K72" i="8"/>
  <c r="J72" i="8"/>
  <c r="L71" i="8"/>
  <c r="K71" i="8"/>
  <c r="J71" i="8"/>
  <c r="L70" i="8"/>
  <c r="K70" i="8"/>
  <c r="J70" i="8"/>
  <c r="L69" i="8"/>
  <c r="K69" i="8"/>
  <c r="J69" i="8"/>
  <c r="M69" i="8" s="1"/>
  <c r="L68" i="8"/>
  <c r="K68" i="8"/>
  <c r="J68" i="8"/>
  <c r="M68" i="8" s="1"/>
  <c r="L67" i="8"/>
  <c r="K67" i="8"/>
  <c r="J67" i="8"/>
  <c r="L66" i="8"/>
  <c r="K66" i="8"/>
  <c r="J66" i="8"/>
  <c r="L65" i="8"/>
  <c r="K65" i="8"/>
  <c r="J65" i="8"/>
  <c r="L64" i="8"/>
  <c r="K64" i="8"/>
  <c r="J64" i="8"/>
  <c r="M64" i="8" s="1"/>
  <c r="L63" i="8"/>
  <c r="K63" i="8"/>
  <c r="J63" i="8"/>
  <c r="L62" i="8"/>
  <c r="K62" i="8"/>
  <c r="J62" i="8"/>
  <c r="L61" i="8"/>
  <c r="K61" i="8"/>
  <c r="J61" i="8"/>
  <c r="M61" i="8" s="1"/>
  <c r="L60" i="8"/>
  <c r="K60" i="8"/>
  <c r="J60" i="8"/>
  <c r="M60" i="8" s="1"/>
  <c r="L59" i="8"/>
  <c r="K59" i="8"/>
  <c r="J59" i="8"/>
  <c r="L58" i="8"/>
  <c r="K58" i="8"/>
  <c r="J58" i="8"/>
  <c r="L54" i="8"/>
  <c r="K54" i="8"/>
  <c r="J54" i="8"/>
  <c r="M54" i="8" s="1"/>
  <c r="N183" i="17" s="1"/>
  <c r="L53" i="8"/>
  <c r="K53" i="8"/>
  <c r="J53" i="8"/>
  <c r="M53" i="8" s="1"/>
  <c r="L52" i="8"/>
  <c r="K52" i="8"/>
  <c r="J52" i="8"/>
  <c r="L51" i="8"/>
  <c r="K51" i="8"/>
  <c r="J51" i="8"/>
  <c r="L50" i="8"/>
  <c r="K50" i="8"/>
  <c r="J50" i="8"/>
  <c r="M50" i="8" s="1"/>
  <c r="L49" i="8"/>
  <c r="K49" i="8"/>
  <c r="J49" i="8"/>
  <c r="M49" i="8" s="1"/>
  <c r="L30" i="1" s="1"/>
  <c r="L48" i="8"/>
  <c r="K48" i="8"/>
  <c r="J48" i="8"/>
  <c r="L47" i="8"/>
  <c r="K47" i="8"/>
  <c r="J47" i="8"/>
  <c r="L46" i="8"/>
  <c r="K46" i="8"/>
  <c r="J46" i="8"/>
  <c r="L45" i="8"/>
  <c r="K45" i="8"/>
  <c r="J45" i="8"/>
  <c r="M45" i="8" s="1"/>
  <c r="L44" i="8"/>
  <c r="K44" i="8"/>
  <c r="J44" i="8"/>
  <c r="L43" i="8"/>
  <c r="K43" i="8"/>
  <c r="J43" i="8"/>
  <c r="L42" i="8"/>
  <c r="K42" i="8"/>
  <c r="J42" i="8"/>
  <c r="M42" i="8" s="1"/>
  <c r="L41" i="8"/>
  <c r="K41" i="8"/>
  <c r="J41" i="8"/>
  <c r="M41" i="8" s="1"/>
  <c r="L40" i="8"/>
  <c r="K40" i="8"/>
  <c r="J40" i="8"/>
  <c r="L39" i="8"/>
  <c r="K39" i="8"/>
  <c r="J39" i="8"/>
  <c r="L38" i="8"/>
  <c r="K38" i="8"/>
  <c r="J38" i="8"/>
  <c r="M38" i="8" s="1"/>
  <c r="L28" i="1" s="1"/>
  <c r="L37" i="8"/>
  <c r="K37" i="8"/>
  <c r="J37" i="8"/>
  <c r="M37" i="8" s="1"/>
  <c r="L36" i="8"/>
  <c r="K36" i="8"/>
  <c r="J36" i="8"/>
  <c r="L35" i="8"/>
  <c r="K35" i="8"/>
  <c r="J35" i="8"/>
  <c r="L34" i="8"/>
  <c r="K34" i="8"/>
  <c r="J34" i="8"/>
  <c r="M34" i="8" s="1"/>
  <c r="L33" i="8"/>
  <c r="K33" i="8"/>
  <c r="J33" i="8"/>
  <c r="M33" i="8" s="1"/>
  <c r="L32" i="8"/>
  <c r="K32" i="8"/>
  <c r="J32" i="8"/>
  <c r="L31" i="8"/>
  <c r="K31" i="8"/>
  <c r="J31" i="8"/>
  <c r="L30" i="8"/>
  <c r="K30" i="8"/>
  <c r="J30" i="8"/>
  <c r="L29" i="8"/>
  <c r="K29" i="8"/>
  <c r="J29" i="8"/>
  <c r="M29" i="8" s="1"/>
  <c r="L28" i="8"/>
  <c r="K28" i="8"/>
  <c r="J28" i="8"/>
  <c r="L27" i="8"/>
  <c r="K27" i="8"/>
  <c r="J27" i="8"/>
  <c r="L26" i="8"/>
  <c r="K26" i="8"/>
  <c r="J26" i="8"/>
  <c r="L25" i="8"/>
  <c r="K25" i="8"/>
  <c r="J25" i="8"/>
  <c r="M25" i="8" s="1"/>
  <c r="L24" i="8"/>
  <c r="K24" i="8"/>
  <c r="J24" i="8"/>
  <c r="L23" i="8"/>
  <c r="K23" i="8"/>
  <c r="J23" i="8"/>
  <c r="L22" i="8"/>
  <c r="K22" i="8"/>
  <c r="J22" i="8"/>
  <c r="M22" i="8" s="1"/>
  <c r="L21" i="8"/>
  <c r="K21" i="8"/>
  <c r="J21" i="8"/>
  <c r="M21" i="8" s="1"/>
  <c r="L20" i="8"/>
  <c r="K20" i="8"/>
  <c r="J20" i="8"/>
  <c r="L19" i="8"/>
  <c r="K19" i="8"/>
  <c r="J19" i="8"/>
  <c r="L18" i="8"/>
  <c r="K18" i="8"/>
  <c r="J18" i="8"/>
  <c r="M18" i="8" s="1"/>
  <c r="L22" i="1" s="1"/>
  <c r="L17" i="8"/>
  <c r="K17" i="8"/>
  <c r="J17" i="8"/>
  <c r="M17" i="8" s="1"/>
  <c r="L21" i="1" s="1"/>
  <c r="L16" i="8"/>
  <c r="K16" i="8"/>
  <c r="J16" i="8"/>
  <c r="L15" i="8"/>
  <c r="K15" i="8"/>
  <c r="J15" i="8"/>
  <c r="L14" i="8"/>
  <c r="K14" i="8"/>
  <c r="J14" i="8"/>
  <c r="L13" i="8"/>
  <c r="K13" i="8"/>
  <c r="J13" i="8"/>
  <c r="M13" i="8" s="1"/>
  <c r="L12" i="8"/>
  <c r="K12" i="8"/>
  <c r="J12" i="8"/>
  <c r="L11" i="8"/>
  <c r="K11" i="8"/>
  <c r="J11" i="8"/>
  <c r="L10" i="8"/>
  <c r="K10" i="8"/>
  <c r="J10" i="8"/>
  <c r="L9" i="8"/>
  <c r="K9" i="8"/>
  <c r="J9" i="8"/>
  <c r="M9" i="8" s="1"/>
  <c r="L8" i="8"/>
  <c r="K8" i="8"/>
  <c r="J8" i="8"/>
  <c r="L7" i="8"/>
  <c r="K7" i="8"/>
  <c r="J7" i="8"/>
  <c r="L6" i="8"/>
  <c r="K6" i="8"/>
  <c r="J6" i="8"/>
  <c r="L5" i="8"/>
  <c r="K5" i="8"/>
  <c r="J5" i="8"/>
  <c r="M5" i="8" s="1"/>
  <c r="L19" i="1" s="1"/>
  <c r="L4" i="8"/>
  <c r="K4" i="8"/>
  <c r="J4" i="8"/>
  <c r="M4" i="8" s="1"/>
  <c r="L4" i="1" s="1"/>
  <c r="L3" i="8"/>
  <c r="K3" i="8"/>
  <c r="J3" i="8"/>
  <c r="M3" i="8" s="1"/>
  <c r="L2" i="8"/>
  <c r="K2" i="8"/>
  <c r="J2" i="8"/>
  <c r="L102" i="9"/>
  <c r="K102" i="9"/>
  <c r="J102" i="9"/>
  <c r="M102" i="9" s="1"/>
  <c r="L101" i="9"/>
  <c r="K101" i="9"/>
  <c r="J101" i="9"/>
  <c r="M101" i="9" s="1"/>
  <c r="L100" i="9"/>
  <c r="K100" i="9"/>
  <c r="J100" i="9"/>
  <c r="M100" i="9" s="1"/>
  <c r="L99" i="9"/>
  <c r="K99" i="9"/>
  <c r="J99" i="9"/>
  <c r="L98" i="9"/>
  <c r="K98" i="9"/>
  <c r="J98" i="9"/>
  <c r="L97" i="9"/>
  <c r="K97" i="9"/>
  <c r="J97" i="9"/>
  <c r="M97" i="9" s="1"/>
  <c r="L96" i="9"/>
  <c r="K96" i="9"/>
  <c r="J96" i="9"/>
  <c r="L95" i="9"/>
  <c r="K95" i="9"/>
  <c r="J95" i="9"/>
  <c r="L94" i="9"/>
  <c r="K94" i="9"/>
  <c r="J94" i="9"/>
  <c r="M94" i="9" s="1"/>
  <c r="L93" i="9"/>
  <c r="K93" i="9"/>
  <c r="J93" i="9"/>
  <c r="M93" i="9" s="1"/>
  <c r="L92" i="9"/>
  <c r="K92" i="9"/>
  <c r="J92" i="9"/>
  <c r="L91" i="9"/>
  <c r="K91" i="9"/>
  <c r="J91" i="9"/>
  <c r="L90" i="9"/>
  <c r="K90" i="9"/>
  <c r="J90" i="9"/>
  <c r="M90" i="9" s="1"/>
  <c r="L89" i="9"/>
  <c r="K89" i="9"/>
  <c r="J89" i="9"/>
  <c r="M89" i="9" s="1"/>
  <c r="L88" i="9"/>
  <c r="K88" i="9"/>
  <c r="J88" i="9"/>
  <c r="L87" i="9"/>
  <c r="K87" i="9"/>
  <c r="J87" i="9"/>
  <c r="L86" i="9"/>
  <c r="K86" i="9"/>
  <c r="J86" i="9"/>
  <c r="M86" i="9" s="1"/>
  <c r="L85" i="9"/>
  <c r="K85" i="9"/>
  <c r="J85" i="9"/>
  <c r="M85" i="9" s="1"/>
  <c r="L84" i="9"/>
  <c r="K84" i="9"/>
  <c r="J84" i="9"/>
  <c r="L83" i="9"/>
  <c r="K83" i="9"/>
  <c r="J83" i="9"/>
  <c r="L82" i="9"/>
  <c r="K82" i="9"/>
  <c r="J82" i="9"/>
  <c r="M82" i="9" s="1"/>
  <c r="L81" i="9"/>
  <c r="K81" i="9"/>
  <c r="J81" i="9"/>
  <c r="M81" i="9" s="1"/>
  <c r="L80" i="9"/>
  <c r="K80" i="9"/>
  <c r="J80" i="9"/>
  <c r="L79" i="9"/>
  <c r="K79" i="9"/>
  <c r="J79" i="9"/>
  <c r="L78" i="9"/>
  <c r="K78" i="9"/>
  <c r="J78" i="9"/>
  <c r="M78" i="9" s="1"/>
  <c r="L77" i="9"/>
  <c r="K77" i="9"/>
  <c r="J77" i="9"/>
  <c r="M77" i="9" s="1"/>
  <c r="L76" i="9"/>
  <c r="K76" i="9"/>
  <c r="J76" i="9"/>
  <c r="L75" i="9"/>
  <c r="K75" i="9"/>
  <c r="J75" i="9"/>
  <c r="L74" i="9"/>
  <c r="K74" i="9"/>
  <c r="J74" i="9"/>
  <c r="M74" i="9" s="1"/>
  <c r="L73" i="9"/>
  <c r="K73" i="9"/>
  <c r="J73" i="9"/>
  <c r="L72" i="9"/>
  <c r="K72" i="9"/>
  <c r="J72" i="9"/>
  <c r="L71" i="9"/>
  <c r="K71" i="9"/>
  <c r="J71" i="9"/>
  <c r="L70" i="9"/>
  <c r="K70" i="9"/>
  <c r="J70" i="9"/>
  <c r="M70" i="9" s="1"/>
  <c r="L69" i="9"/>
  <c r="K69" i="9"/>
  <c r="J69" i="9"/>
  <c r="M69" i="9" s="1"/>
  <c r="L68" i="9"/>
  <c r="K68" i="9"/>
  <c r="J68" i="9"/>
  <c r="L67" i="9"/>
  <c r="K67" i="9"/>
  <c r="J67" i="9"/>
  <c r="L66" i="9"/>
  <c r="K66" i="9"/>
  <c r="J66" i="9"/>
  <c r="M66" i="9" s="1"/>
  <c r="L65" i="9"/>
  <c r="K65" i="9"/>
  <c r="J65" i="9"/>
  <c r="M65" i="9" s="1"/>
  <c r="L64" i="9"/>
  <c r="K64" i="9"/>
  <c r="J64" i="9"/>
  <c r="L63" i="9"/>
  <c r="K63" i="9"/>
  <c r="J63" i="9"/>
  <c r="L62" i="9"/>
  <c r="K62" i="9"/>
  <c r="J62" i="9"/>
  <c r="M62" i="9" s="1"/>
  <c r="L61" i="9"/>
  <c r="K61" i="9"/>
  <c r="J61" i="9"/>
  <c r="M61" i="9" s="1"/>
  <c r="L60" i="9"/>
  <c r="K60" i="9"/>
  <c r="J60" i="9"/>
  <c r="L59" i="9"/>
  <c r="K59" i="9"/>
  <c r="J59" i="9"/>
  <c r="L58" i="9"/>
  <c r="K58" i="9"/>
  <c r="J58" i="9"/>
  <c r="M58" i="9" s="1"/>
  <c r="L57" i="9"/>
  <c r="K57" i="9"/>
  <c r="J57" i="9"/>
  <c r="M57" i="9" s="1"/>
  <c r="L56" i="9"/>
  <c r="K56" i="9"/>
  <c r="J56" i="9"/>
  <c r="L55" i="9"/>
  <c r="K55" i="9"/>
  <c r="J55" i="9"/>
  <c r="L54" i="9"/>
  <c r="K54" i="9"/>
  <c r="J54" i="9"/>
  <c r="M54" i="9" s="1"/>
  <c r="L53" i="9"/>
  <c r="K53" i="9"/>
  <c r="J53" i="9"/>
  <c r="M53" i="9" s="1"/>
  <c r="L52" i="9"/>
  <c r="K52" i="9"/>
  <c r="J52" i="9"/>
  <c r="L51" i="9"/>
  <c r="K51" i="9"/>
  <c r="J51" i="9"/>
  <c r="L50" i="9"/>
  <c r="K50" i="9"/>
  <c r="J50" i="9"/>
  <c r="M50" i="9" s="1"/>
  <c r="L49" i="9"/>
  <c r="K49" i="9"/>
  <c r="J49" i="9"/>
  <c r="M49" i="9" s="1"/>
  <c r="L48" i="9"/>
  <c r="K48" i="9"/>
  <c r="J48" i="9"/>
  <c r="L47" i="9"/>
  <c r="K47" i="9"/>
  <c r="J47" i="9"/>
  <c r="L46" i="9"/>
  <c r="K46" i="9"/>
  <c r="J46" i="9"/>
  <c r="M46" i="9" s="1"/>
  <c r="L45" i="9"/>
  <c r="K45" i="9"/>
  <c r="J45" i="9"/>
  <c r="M45" i="9" s="1"/>
  <c r="L44" i="9"/>
  <c r="K44" i="9"/>
  <c r="J44" i="9"/>
  <c r="L43" i="9"/>
  <c r="K43" i="9"/>
  <c r="J43" i="9"/>
  <c r="L42" i="9"/>
  <c r="K42" i="9"/>
  <c r="J42" i="9"/>
  <c r="M42" i="9" s="1"/>
  <c r="L41" i="9"/>
  <c r="K41" i="9"/>
  <c r="J41" i="9"/>
  <c r="M41" i="9" s="1"/>
  <c r="L40" i="9"/>
  <c r="K40" i="9"/>
  <c r="J40" i="9"/>
  <c r="L39" i="9"/>
  <c r="K39" i="9"/>
  <c r="J39" i="9"/>
  <c r="L38" i="9"/>
  <c r="K38" i="9"/>
  <c r="J38" i="9"/>
  <c r="M38" i="9" s="1"/>
  <c r="L37" i="9"/>
  <c r="K37" i="9"/>
  <c r="J37" i="9"/>
  <c r="M37" i="9" s="1"/>
  <c r="L36" i="9"/>
  <c r="K36" i="9"/>
  <c r="J36" i="9"/>
  <c r="L35" i="9"/>
  <c r="K35" i="9"/>
  <c r="J35" i="9"/>
  <c r="L34" i="9"/>
  <c r="K34" i="9"/>
  <c r="J34" i="9"/>
  <c r="M34" i="9" s="1"/>
  <c r="L33" i="9"/>
  <c r="K33" i="9"/>
  <c r="J33" i="9"/>
  <c r="L32" i="9"/>
  <c r="K32" i="9"/>
  <c r="J32" i="9"/>
  <c r="L31" i="9"/>
  <c r="K31" i="9"/>
  <c r="J31" i="9"/>
  <c r="L30" i="9"/>
  <c r="K30" i="9"/>
  <c r="J30" i="9"/>
  <c r="M30" i="9" s="1"/>
  <c r="L29" i="9"/>
  <c r="K29" i="9"/>
  <c r="J29" i="9"/>
  <c r="M29" i="9" s="1"/>
  <c r="L28" i="9"/>
  <c r="K28" i="9"/>
  <c r="J28" i="9"/>
  <c r="L27" i="9"/>
  <c r="K27" i="9"/>
  <c r="J27" i="9"/>
  <c r="L26" i="9"/>
  <c r="K26" i="9"/>
  <c r="J26" i="9"/>
  <c r="M26" i="9" s="1"/>
  <c r="L25" i="9"/>
  <c r="K25" i="9"/>
  <c r="J25" i="9"/>
  <c r="M25" i="9" s="1"/>
  <c r="L24" i="9"/>
  <c r="K24" i="9"/>
  <c r="J24" i="9"/>
  <c r="L23" i="9"/>
  <c r="K23" i="9"/>
  <c r="J23" i="9"/>
  <c r="L22" i="9"/>
  <c r="K22" i="9"/>
  <c r="J22" i="9"/>
  <c r="M22" i="9" s="1"/>
  <c r="L21" i="9"/>
  <c r="K21" i="9"/>
  <c r="J21" i="9"/>
  <c r="M21" i="9" s="1"/>
  <c r="L20" i="9"/>
  <c r="K20" i="9"/>
  <c r="J20" i="9"/>
  <c r="L19" i="9"/>
  <c r="K19" i="9"/>
  <c r="J19" i="9"/>
  <c r="L18" i="9"/>
  <c r="K18" i="9"/>
  <c r="J18" i="9"/>
  <c r="M18" i="9" s="1"/>
  <c r="L17" i="9"/>
  <c r="K17" i="9"/>
  <c r="J17" i="9"/>
  <c r="M17" i="9" s="1"/>
  <c r="L16" i="9"/>
  <c r="K16" i="9"/>
  <c r="J16" i="9"/>
  <c r="L15" i="9"/>
  <c r="K15" i="9"/>
  <c r="J15" i="9"/>
  <c r="L14" i="9"/>
  <c r="K14" i="9"/>
  <c r="J14" i="9"/>
  <c r="M14" i="9" s="1"/>
  <c r="L13" i="9"/>
  <c r="K13" i="9"/>
  <c r="J13" i="9"/>
  <c r="M13" i="9" s="1"/>
  <c r="L12" i="9"/>
  <c r="K12" i="9"/>
  <c r="J12" i="9"/>
  <c r="L11" i="9"/>
  <c r="K11" i="9"/>
  <c r="J11" i="9"/>
  <c r="L10" i="9"/>
  <c r="K10" i="9"/>
  <c r="J10" i="9"/>
  <c r="M10" i="9" s="1"/>
  <c r="L9" i="9"/>
  <c r="K9" i="9"/>
  <c r="J9" i="9"/>
  <c r="M9" i="9" s="1"/>
  <c r="L8" i="9"/>
  <c r="K8" i="9"/>
  <c r="J8" i="9"/>
  <c r="L7" i="9"/>
  <c r="K7" i="9"/>
  <c r="J7" i="9"/>
  <c r="L6" i="9"/>
  <c r="K6" i="9"/>
  <c r="J6" i="9"/>
  <c r="M6" i="9" s="1"/>
  <c r="L5" i="9"/>
  <c r="K5" i="9"/>
  <c r="J5" i="9"/>
  <c r="M5" i="9" s="1"/>
  <c r="L4" i="9"/>
  <c r="K4" i="9"/>
  <c r="J4" i="9"/>
  <c r="L111" i="10"/>
  <c r="K111" i="10"/>
  <c r="J111" i="10"/>
  <c r="L110" i="10"/>
  <c r="K110" i="10"/>
  <c r="J110" i="10"/>
  <c r="M110" i="10" s="1"/>
  <c r="L109" i="10"/>
  <c r="K109" i="10"/>
  <c r="J109" i="10"/>
  <c r="M109" i="10" s="1"/>
  <c r="L104" i="10"/>
  <c r="K104" i="10"/>
  <c r="J104" i="10"/>
  <c r="L103" i="10"/>
  <c r="K103" i="10"/>
  <c r="J103" i="10"/>
  <c r="L102" i="10"/>
  <c r="K102" i="10"/>
  <c r="J102" i="10"/>
  <c r="M102" i="10" s="1"/>
  <c r="L101" i="10"/>
  <c r="K101" i="10"/>
  <c r="J101" i="10"/>
  <c r="M101" i="10" s="1"/>
  <c r="P198" i="17" s="1"/>
  <c r="L100" i="10"/>
  <c r="K100" i="10"/>
  <c r="J100" i="10"/>
  <c r="L99" i="10"/>
  <c r="K99" i="10"/>
  <c r="J99" i="10"/>
  <c r="L98" i="10"/>
  <c r="K98" i="10"/>
  <c r="J98" i="10"/>
  <c r="M98" i="10" s="1"/>
  <c r="L97" i="10"/>
  <c r="K97" i="10"/>
  <c r="J97" i="10"/>
  <c r="M97" i="10" s="1"/>
  <c r="N108" i="1" s="1"/>
  <c r="L96" i="10"/>
  <c r="K96" i="10"/>
  <c r="J96" i="10"/>
  <c r="L95" i="10"/>
  <c r="K95" i="10"/>
  <c r="J95" i="10"/>
  <c r="L94" i="10"/>
  <c r="K94" i="10"/>
  <c r="J94" i="10"/>
  <c r="M94" i="10" s="1"/>
  <c r="L93" i="10"/>
  <c r="K93" i="10"/>
  <c r="J93" i="10"/>
  <c r="M93" i="10" s="1"/>
  <c r="N133" i="1" s="1"/>
  <c r="L92" i="10"/>
  <c r="K92" i="10"/>
  <c r="J92" i="10"/>
  <c r="L91" i="10"/>
  <c r="K91" i="10"/>
  <c r="J91" i="10"/>
  <c r="L90" i="10"/>
  <c r="K90" i="10"/>
  <c r="J90" i="10"/>
  <c r="M90" i="10" s="1"/>
  <c r="N130" i="1" s="1"/>
  <c r="L89" i="10"/>
  <c r="K89" i="10"/>
  <c r="J89" i="10"/>
  <c r="M89" i="10" s="1"/>
  <c r="N119" i="1" s="1"/>
  <c r="L88" i="10"/>
  <c r="K88" i="10"/>
  <c r="J88" i="10"/>
  <c r="L87" i="10"/>
  <c r="K87" i="10"/>
  <c r="J87" i="10"/>
  <c r="L86" i="10"/>
  <c r="K86" i="10"/>
  <c r="J86" i="10"/>
  <c r="M86" i="10" s="1"/>
  <c r="N109" i="1" s="1"/>
  <c r="L85" i="10"/>
  <c r="K85" i="10"/>
  <c r="J85" i="10"/>
  <c r="M85" i="10" s="1"/>
  <c r="N128" i="1" s="1"/>
  <c r="L84" i="10"/>
  <c r="K84" i="10"/>
  <c r="J84" i="10"/>
  <c r="L83" i="10"/>
  <c r="K83" i="10"/>
  <c r="J83" i="10"/>
  <c r="L82" i="10"/>
  <c r="K82" i="10"/>
  <c r="J82" i="10"/>
  <c r="M82" i="10" s="1"/>
  <c r="N117" i="1" s="1"/>
  <c r="L81" i="10"/>
  <c r="K81" i="10"/>
  <c r="J81" i="10"/>
  <c r="M81" i="10" s="1"/>
  <c r="N116" i="1" s="1"/>
  <c r="L80" i="10"/>
  <c r="K80" i="10"/>
  <c r="J80" i="10"/>
  <c r="L79" i="10"/>
  <c r="K79" i="10"/>
  <c r="J79" i="10"/>
  <c r="L78" i="10"/>
  <c r="K78" i="10"/>
  <c r="J78" i="10"/>
  <c r="M78" i="10" s="1"/>
  <c r="L77" i="10"/>
  <c r="K77" i="10"/>
  <c r="J77" i="10"/>
  <c r="M77" i="10" s="1"/>
  <c r="N114" i="1" s="1"/>
  <c r="L76" i="10"/>
  <c r="K76" i="10"/>
  <c r="J76" i="10"/>
  <c r="L75" i="10"/>
  <c r="K75" i="10"/>
  <c r="J75" i="10"/>
  <c r="L74" i="10"/>
  <c r="K74" i="10"/>
  <c r="J74" i="10"/>
  <c r="M74" i="10" s="1"/>
  <c r="N106" i="1" s="1"/>
  <c r="L73" i="10"/>
  <c r="K73" i="10"/>
  <c r="J73" i="10"/>
  <c r="L72" i="10"/>
  <c r="K72" i="10"/>
  <c r="J72" i="10"/>
  <c r="L71" i="10"/>
  <c r="K71" i="10"/>
  <c r="J71" i="10"/>
  <c r="L70" i="10"/>
  <c r="K70" i="10"/>
  <c r="J70" i="10"/>
  <c r="M70" i="10" s="1"/>
  <c r="L69" i="10"/>
  <c r="K69" i="10"/>
  <c r="J69" i="10"/>
  <c r="L68" i="10"/>
  <c r="K68" i="10"/>
  <c r="J68" i="10"/>
  <c r="L67" i="10"/>
  <c r="K67" i="10"/>
  <c r="J67" i="10"/>
  <c r="L66" i="10"/>
  <c r="K66" i="10"/>
  <c r="J66" i="10"/>
  <c r="M66" i="10" s="1"/>
  <c r="N37" i="1" s="1"/>
  <c r="L65" i="10"/>
  <c r="K65" i="10"/>
  <c r="J65" i="10"/>
  <c r="L64" i="10"/>
  <c r="K64" i="10"/>
  <c r="J64" i="10"/>
  <c r="L63" i="10"/>
  <c r="K63" i="10"/>
  <c r="J63" i="10"/>
  <c r="L62" i="10"/>
  <c r="K62" i="10"/>
  <c r="J62" i="10"/>
  <c r="M62" i="10" s="1"/>
  <c r="N34" i="1" s="1"/>
  <c r="L61" i="10"/>
  <c r="K61" i="10"/>
  <c r="J61" i="10"/>
  <c r="L60" i="10"/>
  <c r="K60" i="10"/>
  <c r="J60" i="10"/>
  <c r="L59" i="10"/>
  <c r="K59" i="10"/>
  <c r="J59" i="10"/>
  <c r="L58" i="10"/>
  <c r="K58" i="10"/>
  <c r="J58" i="10"/>
  <c r="M58" i="10" s="1"/>
  <c r="L57" i="10"/>
  <c r="K57" i="10"/>
  <c r="J57" i="10"/>
  <c r="M57" i="10" s="1"/>
  <c r="L56" i="10"/>
  <c r="K56" i="10"/>
  <c r="J56" i="10"/>
  <c r="M56" i="10" s="1"/>
  <c r="L55" i="10"/>
  <c r="K55" i="10"/>
  <c r="J55" i="10"/>
  <c r="M55" i="10" s="1"/>
  <c r="L54" i="10"/>
  <c r="K54" i="10"/>
  <c r="J54" i="10"/>
  <c r="M54" i="10" s="1"/>
  <c r="L53" i="10"/>
  <c r="K53" i="10"/>
  <c r="J53" i="10"/>
  <c r="M53" i="10" s="1"/>
  <c r="L52" i="10"/>
  <c r="K52" i="10"/>
  <c r="J52" i="10"/>
  <c r="M52" i="10" s="1"/>
  <c r="L51" i="10"/>
  <c r="K51" i="10"/>
  <c r="J51" i="10"/>
  <c r="M51" i="10" s="1"/>
  <c r="N32" i="1" s="1"/>
  <c r="L50" i="10"/>
  <c r="K50" i="10"/>
  <c r="J50" i="10"/>
  <c r="M50" i="10" s="1"/>
  <c r="L49" i="10"/>
  <c r="K49" i="10"/>
  <c r="J49" i="10"/>
  <c r="M49" i="10" s="1"/>
  <c r="P184" i="17" s="1"/>
  <c r="L48" i="10"/>
  <c r="K48" i="10"/>
  <c r="J48" i="10"/>
  <c r="M48" i="10" s="1"/>
  <c r="P183" i="17" s="1"/>
  <c r="L47" i="10"/>
  <c r="K47" i="10"/>
  <c r="J47" i="10"/>
  <c r="M47" i="10" s="1"/>
  <c r="N31" i="1" s="1"/>
  <c r="L46" i="10"/>
  <c r="K46" i="10"/>
  <c r="J46" i="10"/>
  <c r="M46" i="10" s="1"/>
  <c r="L45" i="10"/>
  <c r="K45" i="10"/>
  <c r="J45" i="10"/>
  <c r="M45" i="10" s="1"/>
  <c r="N30" i="1" s="1"/>
  <c r="L44" i="10"/>
  <c r="K44" i="10"/>
  <c r="J44" i="10"/>
  <c r="M44" i="10" s="1"/>
  <c r="P182" i="17" s="1"/>
  <c r="L43" i="10"/>
  <c r="K43" i="10"/>
  <c r="J43" i="10"/>
  <c r="M43" i="10" s="1"/>
  <c r="N29" i="1" s="1"/>
  <c r="L42" i="10"/>
  <c r="K42" i="10"/>
  <c r="J42" i="10"/>
  <c r="M42" i="10" s="1"/>
  <c r="L41" i="10"/>
  <c r="K41" i="10"/>
  <c r="J41" i="10"/>
  <c r="M41" i="10" s="1"/>
  <c r="L40" i="10"/>
  <c r="K40" i="10"/>
  <c r="J40" i="10"/>
  <c r="M40" i="10" s="1"/>
  <c r="L39" i="10"/>
  <c r="K39" i="10"/>
  <c r="J39" i="10"/>
  <c r="M39" i="10" s="1"/>
  <c r="L38" i="10"/>
  <c r="K38" i="10"/>
  <c r="J38" i="10"/>
  <c r="M38" i="10" s="1"/>
  <c r="L37" i="10"/>
  <c r="K37" i="10"/>
  <c r="J37" i="10"/>
  <c r="M37" i="10" s="1"/>
  <c r="L36" i="10"/>
  <c r="K36" i="10"/>
  <c r="J36" i="10"/>
  <c r="M36" i="10" s="1"/>
  <c r="P181" i="17" s="1"/>
  <c r="L35" i="10"/>
  <c r="K35" i="10"/>
  <c r="J35" i="10"/>
  <c r="M35" i="10" s="1"/>
  <c r="N28" i="1" s="1"/>
  <c r="L34" i="10"/>
  <c r="K34" i="10"/>
  <c r="J34" i="10"/>
  <c r="M34" i="10" s="1"/>
  <c r="L33" i="10"/>
  <c r="K33" i="10"/>
  <c r="J33" i="10"/>
  <c r="M33" i="10" s="1"/>
  <c r="L32" i="10"/>
  <c r="K32" i="10"/>
  <c r="J32" i="10"/>
  <c r="M32" i="10" s="1"/>
  <c r="L31" i="10"/>
  <c r="K31" i="10"/>
  <c r="J31" i="10"/>
  <c r="M31" i="10" s="1"/>
  <c r="L30" i="10"/>
  <c r="K30" i="10"/>
  <c r="J30" i="10"/>
  <c r="M30" i="10" s="1"/>
  <c r="L29" i="10"/>
  <c r="K29" i="10"/>
  <c r="J29" i="10"/>
  <c r="M29" i="10" s="1"/>
  <c r="P180" i="17" s="1"/>
  <c r="L28" i="10"/>
  <c r="K28" i="10"/>
  <c r="J28" i="10"/>
  <c r="M28" i="10" s="1"/>
  <c r="L27" i="10"/>
  <c r="K27" i="10"/>
  <c r="J27" i="10"/>
  <c r="M27" i="10" s="1"/>
  <c r="L26" i="10"/>
  <c r="K26" i="10"/>
  <c r="J26" i="10"/>
  <c r="M26" i="10" s="1"/>
  <c r="L25" i="10"/>
  <c r="K25" i="10"/>
  <c r="J25" i="10"/>
  <c r="M25" i="10" s="1"/>
  <c r="N27" i="1" s="1"/>
  <c r="L24" i="10"/>
  <c r="K24" i="10"/>
  <c r="J24" i="10"/>
  <c r="M24" i="10" s="1"/>
  <c r="L23" i="10"/>
  <c r="K23" i="10"/>
  <c r="J23" i="10"/>
  <c r="M23" i="10" s="1"/>
  <c r="L22" i="10"/>
  <c r="K22" i="10"/>
  <c r="J22" i="10"/>
  <c r="M22" i="10" s="1"/>
  <c r="L21" i="10"/>
  <c r="K21" i="10"/>
  <c r="J21" i="10"/>
  <c r="M21" i="10" s="1"/>
  <c r="L20" i="10"/>
  <c r="K20" i="10"/>
  <c r="J20" i="10"/>
  <c r="M20" i="10" s="1"/>
  <c r="N23" i="1" s="1"/>
  <c r="L19" i="10"/>
  <c r="K19" i="10"/>
  <c r="J19" i="10"/>
  <c r="M19" i="10" s="1"/>
  <c r="L18" i="10"/>
  <c r="K18" i="10"/>
  <c r="J18" i="10"/>
  <c r="M18" i="10" s="1"/>
  <c r="N22" i="1" s="1"/>
  <c r="L17" i="10"/>
  <c r="K17" i="10"/>
  <c r="J17" i="10"/>
  <c r="M17" i="10" s="1"/>
  <c r="N21" i="1" s="1"/>
  <c r="L16" i="10"/>
  <c r="K16" i="10"/>
  <c r="J16" i="10"/>
  <c r="M16" i="10" s="1"/>
  <c r="L15" i="10"/>
  <c r="K15" i="10"/>
  <c r="J15" i="10"/>
  <c r="M15" i="10" s="1"/>
  <c r="N19" i="1" s="1"/>
  <c r="L14" i="10"/>
  <c r="K14" i="10"/>
  <c r="J14" i="10"/>
  <c r="M14" i="10" s="1"/>
  <c r="N18" i="1" s="1"/>
  <c r="L13" i="10"/>
  <c r="K13" i="10"/>
  <c r="J13" i="10"/>
  <c r="M13" i="10" s="1"/>
  <c r="N17" i="1" s="1"/>
  <c r="L12" i="10"/>
  <c r="K12" i="10"/>
  <c r="J12" i="10"/>
  <c r="M12" i="10" s="1"/>
  <c r="N16" i="1" s="1"/>
  <c r="L11" i="10"/>
  <c r="K11" i="10"/>
  <c r="J11" i="10"/>
  <c r="M11" i="10" s="1"/>
  <c r="L10" i="10"/>
  <c r="K10" i="10"/>
  <c r="J10" i="10"/>
  <c r="M10" i="10" s="1"/>
  <c r="L9" i="10"/>
  <c r="K9" i="10"/>
  <c r="J9" i="10"/>
  <c r="M9" i="10" s="1"/>
  <c r="N14" i="1" s="1"/>
  <c r="L8" i="10"/>
  <c r="K8" i="10"/>
  <c r="J8" i="10"/>
  <c r="M8" i="10" s="1"/>
  <c r="P176" i="17" s="1"/>
  <c r="L7" i="10"/>
  <c r="K7" i="10"/>
  <c r="J7" i="10"/>
  <c r="M7" i="10" s="1"/>
  <c r="N6" i="1" s="1"/>
  <c r="L6" i="10"/>
  <c r="K6" i="10"/>
  <c r="J6" i="10"/>
  <c r="M6" i="10" s="1"/>
  <c r="L5" i="10"/>
  <c r="K5" i="10"/>
  <c r="J5" i="10"/>
  <c r="M5" i="10" s="1"/>
  <c r="L4" i="10"/>
  <c r="K4" i="10"/>
  <c r="J4" i="10"/>
  <c r="M4" i="10" s="1"/>
  <c r="L3" i="10"/>
  <c r="K3" i="10"/>
  <c r="J3" i="10"/>
  <c r="M3" i="10" s="1"/>
  <c r="N5" i="1" s="1"/>
  <c r="L2" i="10"/>
  <c r="K2" i="10"/>
  <c r="J2" i="10"/>
  <c r="M2" i="10" s="1"/>
  <c r="N4" i="1" s="1"/>
  <c r="L123" i="12"/>
  <c r="K123" i="12"/>
  <c r="J123" i="12"/>
  <c r="M123" i="12" s="1"/>
  <c r="L122" i="12"/>
  <c r="K122" i="12"/>
  <c r="J122" i="12"/>
  <c r="M122" i="12" s="1"/>
  <c r="L121" i="12"/>
  <c r="K121" i="12"/>
  <c r="J121" i="12"/>
  <c r="M121" i="12" s="1"/>
  <c r="L120" i="12"/>
  <c r="K120" i="12"/>
  <c r="J120" i="12"/>
  <c r="M120" i="12" s="1"/>
  <c r="L119" i="12"/>
  <c r="K119" i="12"/>
  <c r="J119" i="12"/>
  <c r="M119" i="12" s="1"/>
  <c r="L118" i="12"/>
  <c r="K118" i="12"/>
  <c r="J118" i="12"/>
  <c r="M118" i="12" s="1"/>
  <c r="L117" i="12"/>
  <c r="K117" i="12"/>
  <c r="J117" i="12"/>
  <c r="M117" i="12" s="1"/>
  <c r="L116" i="12"/>
  <c r="K116" i="12"/>
  <c r="J116" i="12"/>
  <c r="M116" i="12" s="1"/>
  <c r="L115" i="12"/>
  <c r="K115" i="12"/>
  <c r="J115" i="12"/>
  <c r="M115" i="12" s="1"/>
  <c r="L114" i="12"/>
  <c r="K114" i="12"/>
  <c r="J114" i="12"/>
  <c r="M114" i="12" s="1"/>
  <c r="L113" i="12"/>
  <c r="K113" i="12"/>
  <c r="J113" i="12"/>
  <c r="M113" i="12" s="1"/>
  <c r="L108" i="12"/>
  <c r="K108" i="12"/>
  <c r="J108" i="12"/>
  <c r="M108" i="12" s="1"/>
  <c r="Q196" i="17" s="1"/>
  <c r="L107" i="12"/>
  <c r="K107" i="12"/>
  <c r="J107" i="12"/>
  <c r="M107" i="12" s="1"/>
  <c r="Q199" i="17" s="1"/>
  <c r="L106" i="12"/>
  <c r="K106" i="12"/>
  <c r="J106" i="12"/>
  <c r="M106" i="12" s="1"/>
  <c r="L105" i="12"/>
  <c r="K105" i="12"/>
  <c r="J105" i="12"/>
  <c r="M105" i="12" s="1"/>
  <c r="L104" i="12"/>
  <c r="K104" i="12"/>
  <c r="J104" i="12"/>
  <c r="M104" i="12" s="1"/>
  <c r="Q198" i="17" s="1"/>
  <c r="L103" i="12"/>
  <c r="K103" i="12"/>
  <c r="J103" i="12"/>
  <c r="M103" i="12" s="1"/>
  <c r="O135" i="1" s="1"/>
  <c r="L102" i="12"/>
  <c r="K102" i="12"/>
  <c r="J102" i="12"/>
  <c r="M102" i="12" s="1"/>
  <c r="O15" i="1" s="1"/>
  <c r="L101" i="12"/>
  <c r="K101" i="12"/>
  <c r="J101" i="12"/>
  <c r="M101" i="12" s="1"/>
  <c r="L100" i="12"/>
  <c r="K100" i="12"/>
  <c r="J100" i="12"/>
  <c r="M100" i="12" s="1"/>
  <c r="O108" i="1" s="1"/>
  <c r="L99" i="12"/>
  <c r="K99" i="12"/>
  <c r="J99" i="12"/>
  <c r="M99" i="12" s="1"/>
  <c r="O134" i="1" s="1"/>
  <c r="L98" i="12"/>
  <c r="K98" i="12"/>
  <c r="J98" i="12"/>
  <c r="M98" i="12" s="1"/>
  <c r="L97" i="12"/>
  <c r="K97" i="12"/>
  <c r="J97" i="12"/>
  <c r="M97" i="12" s="1"/>
  <c r="L96" i="12"/>
  <c r="K96" i="12"/>
  <c r="J96" i="12"/>
  <c r="M96" i="12" s="1"/>
  <c r="O133" i="1" s="1"/>
  <c r="L95" i="12"/>
  <c r="K95" i="12"/>
  <c r="J95" i="12"/>
  <c r="M95" i="12" s="1"/>
  <c r="O132" i="1" s="1"/>
  <c r="L94" i="12"/>
  <c r="K94" i="12"/>
  <c r="J94" i="12"/>
  <c r="M94" i="12" s="1"/>
  <c r="O131" i="1" s="1"/>
  <c r="L93" i="12"/>
  <c r="K93" i="12"/>
  <c r="J93" i="12"/>
  <c r="M93" i="12" s="1"/>
  <c r="O130" i="1" s="1"/>
  <c r="L92" i="12"/>
  <c r="K92" i="12"/>
  <c r="J92" i="12"/>
  <c r="M92" i="12" s="1"/>
  <c r="O119" i="1" s="1"/>
  <c r="L91" i="12"/>
  <c r="K91" i="12"/>
  <c r="J91" i="12"/>
  <c r="M91" i="12" s="1"/>
  <c r="O129" i="1" s="1"/>
  <c r="L90" i="12"/>
  <c r="K90" i="12"/>
  <c r="J90" i="12"/>
  <c r="M90" i="12" s="1"/>
  <c r="L89" i="12"/>
  <c r="K89" i="12"/>
  <c r="J89" i="12"/>
  <c r="M89" i="12" s="1"/>
  <c r="L88" i="12"/>
  <c r="K88" i="12"/>
  <c r="J88" i="12"/>
  <c r="M88" i="12" s="1"/>
  <c r="O128" i="1" s="1"/>
  <c r="L87" i="12"/>
  <c r="K87" i="12"/>
  <c r="J87" i="12"/>
  <c r="M87" i="12" s="1"/>
  <c r="L86" i="12"/>
  <c r="K86" i="12"/>
  <c r="J86" i="12"/>
  <c r="M86" i="12" s="1"/>
  <c r="O126" i="1" s="1"/>
  <c r="L85" i="12"/>
  <c r="K85" i="12"/>
  <c r="J85" i="12"/>
  <c r="M85" i="12" s="1"/>
  <c r="O117" i="1" s="1"/>
  <c r="L84" i="12"/>
  <c r="K84" i="12"/>
  <c r="J84" i="12"/>
  <c r="M84" i="12" s="1"/>
  <c r="O116" i="1" s="1"/>
  <c r="L83" i="12"/>
  <c r="K83" i="12"/>
  <c r="J83" i="12"/>
  <c r="M83" i="12" s="1"/>
  <c r="L82" i="12"/>
  <c r="K82" i="12"/>
  <c r="J82" i="12"/>
  <c r="M82" i="12" s="1"/>
  <c r="O115" i="1" s="1"/>
  <c r="L81" i="12"/>
  <c r="K81" i="12"/>
  <c r="J81" i="12"/>
  <c r="M81" i="12" s="1"/>
  <c r="L80" i="12"/>
  <c r="K80" i="12"/>
  <c r="J80" i="12"/>
  <c r="M80" i="12" s="1"/>
  <c r="O114" i="1" s="1"/>
  <c r="L79" i="12"/>
  <c r="K79" i="12"/>
  <c r="J79" i="12"/>
  <c r="M79" i="12" s="1"/>
  <c r="L78" i="12"/>
  <c r="K78" i="12"/>
  <c r="J78" i="12"/>
  <c r="M78" i="12" s="1"/>
  <c r="O109" i="1" s="1"/>
  <c r="L77" i="12"/>
  <c r="K77" i="12"/>
  <c r="J77" i="12"/>
  <c r="M77" i="12" s="1"/>
  <c r="O107" i="1" s="1"/>
  <c r="L76" i="12"/>
  <c r="K76" i="12"/>
  <c r="J76" i="12"/>
  <c r="M76" i="12" s="1"/>
  <c r="O106" i="1" s="1"/>
  <c r="L75" i="12"/>
  <c r="K75" i="12"/>
  <c r="J75" i="12"/>
  <c r="M75" i="12" s="1"/>
  <c r="O105" i="1" s="1"/>
  <c r="L74" i="12"/>
  <c r="K74" i="12"/>
  <c r="J74" i="12"/>
  <c r="M74" i="12" s="1"/>
  <c r="L73" i="12"/>
  <c r="K73" i="12"/>
  <c r="J73" i="12"/>
  <c r="M73" i="12" s="1"/>
  <c r="O45" i="1" s="1"/>
  <c r="L72" i="12"/>
  <c r="K72" i="12"/>
  <c r="J72" i="12"/>
  <c r="M72" i="12" s="1"/>
  <c r="L71" i="12"/>
  <c r="K71" i="12"/>
  <c r="J71" i="12"/>
  <c r="M71" i="12" s="1"/>
  <c r="L70" i="12"/>
  <c r="K70" i="12"/>
  <c r="J70" i="12"/>
  <c r="M70" i="12" s="1"/>
  <c r="Q200" i="17" s="1"/>
  <c r="L69" i="12"/>
  <c r="K69" i="12"/>
  <c r="J69" i="12"/>
  <c r="M69" i="12" s="1"/>
  <c r="L68" i="12"/>
  <c r="K68" i="12"/>
  <c r="J68" i="12"/>
  <c r="M68" i="12" s="1"/>
  <c r="O43" i="1" s="1"/>
  <c r="L67" i="12"/>
  <c r="K67" i="12"/>
  <c r="J67" i="12"/>
  <c r="M67" i="12" s="1"/>
  <c r="O42" i="1" s="1"/>
  <c r="L66" i="12"/>
  <c r="K66" i="12"/>
  <c r="J66" i="12"/>
  <c r="M66" i="12" s="1"/>
  <c r="O44" i="1" s="1"/>
  <c r="L65" i="12"/>
  <c r="K65" i="12"/>
  <c r="J65" i="12"/>
  <c r="M65" i="12" s="1"/>
  <c r="L64" i="12"/>
  <c r="K64" i="12"/>
  <c r="J64" i="12"/>
  <c r="M64" i="12" s="1"/>
  <c r="Q178" i="17" s="1"/>
  <c r="L63" i="12"/>
  <c r="K63" i="12"/>
  <c r="J63" i="12"/>
  <c r="M63" i="12" s="1"/>
  <c r="O40" i="1" s="1"/>
  <c r="L62" i="12"/>
  <c r="K62" i="12"/>
  <c r="J62" i="12"/>
  <c r="M62" i="12" s="1"/>
  <c r="L61" i="12"/>
  <c r="K61" i="12"/>
  <c r="J61" i="12"/>
  <c r="M61" i="12" s="1"/>
  <c r="L60" i="12"/>
  <c r="K60" i="12"/>
  <c r="J60" i="12"/>
  <c r="M60" i="12" s="1"/>
  <c r="O39" i="1" s="1"/>
  <c r="L59" i="12"/>
  <c r="K59" i="12"/>
  <c r="J59" i="12"/>
  <c r="M59" i="12" s="1"/>
  <c r="Q186" i="17" s="1"/>
  <c r="L58" i="12"/>
  <c r="K58" i="12"/>
  <c r="J58" i="12"/>
  <c r="M58" i="12" s="1"/>
  <c r="O38" i="1" s="1"/>
  <c r="L57" i="12"/>
  <c r="K57" i="12"/>
  <c r="J57" i="12"/>
  <c r="M57" i="12" s="1"/>
  <c r="O37" i="1" s="1"/>
  <c r="L56" i="12"/>
  <c r="K56" i="12"/>
  <c r="J56" i="12"/>
  <c r="M56" i="12" s="1"/>
  <c r="O36" i="1" s="1"/>
  <c r="L55" i="12"/>
  <c r="K55" i="12"/>
  <c r="J55" i="12"/>
  <c r="M55" i="12" s="1"/>
  <c r="O35" i="1" s="1"/>
  <c r="L54" i="12"/>
  <c r="K54" i="12"/>
  <c r="J54" i="12"/>
  <c r="M54" i="12" s="1"/>
  <c r="L53" i="12"/>
  <c r="K53" i="12"/>
  <c r="J53" i="12"/>
  <c r="M53" i="12" s="1"/>
  <c r="O34" i="1" s="1"/>
  <c r="L52" i="12"/>
  <c r="K52" i="12"/>
  <c r="J52" i="12"/>
  <c r="M52" i="12" s="1"/>
  <c r="L51" i="12"/>
  <c r="K51" i="12"/>
  <c r="J51" i="12"/>
  <c r="M51" i="12" s="1"/>
  <c r="Q185" i="17" s="1"/>
  <c r="L50" i="12"/>
  <c r="K50" i="12"/>
  <c r="J50" i="12"/>
  <c r="M50" i="12" s="1"/>
  <c r="O33" i="1" s="1"/>
  <c r="L49" i="12"/>
  <c r="K49" i="12"/>
  <c r="J49" i="12"/>
  <c r="M49" i="12" s="1"/>
  <c r="L48" i="12"/>
  <c r="K48" i="12"/>
  <c r="J48" i="12"/>
  <c r="M48" i="12" s="1"/>
  <c r="L47" i="12"/>
  <c r="K47" i="12"/>
  <c r="J47" i="12"/>
  <c r="M47" i="12" s="1"/>
  <c r="L46" i="12"/>
  <c r="K46" i="12"/>
  <c r="J46" i="12"/>
  <c r="M46" i="12" s="1"/>
  <c r="L45" i="12"/>
  <c r="K45" i="12"/>
  <c r="J45" i="12"/>
  <c r="M45" i="12" s="1"/>
  <c r="L44" i="12"/>
  <c r="K44" i="12"/>
  <c r="J44" i="12"/>
  <c r="M44" i="12" s="1"/>
  <c r="L43" i="12"/>
  <c r="K43" i="12"/>
  <c r="J43" i="12"/>
  <c r="M43" i="12" s="1"/>
  <c r="O32" i="1" s="1"/>
  <c r="L42" i="12"/>
  <c r="K42" i="12"/>
  <c r="J42" i="12"/>
  <c r="M42" i="12" s="1"/>
  <c r="Q184" i="17" s="1"/>
  <c r="L41" i="12"/>
  <c r="K41" i="12"/>
  <c r="J41" i="12"/>
  <c r="M41" i="12" s="1"/>
  <c r="Q183" i="17" s="1"/>
  <c r="L40" i="12"/>
  <c r="K40" i="12"/>
  <c r="J40" i="12"/>
  <c r="M40" i="12" s="1"/>
  <c r="O31" i="1" s="1"/>
  <c r="L39" i="12"/>
  <c r="K39" i="12"/>
  <c r="J39" i="12"/>
  <c r="M39" i="12" s="1"/>
  <c r="L38" i="12"/>
  <c r="K38" i="12"/>
  <c r="J38" i="12"/>
  <c r="M38" i="12" s="1"/>
  <c r="O30" i="1" s="1"/>
  <c r="L37" i="12"/>
  <c r="K37" i="12"/>
  <c r="J37" i="12"/>
  <c r="M37" i="12" s="1"/>
  <c r="Q182" i="17" s="1"/>
  <c r="L36" i="12"/>
  <c r="K36" i="12"/>
  <c r="J36" i="12"/>
  <c r="M36" i="12" s="1"/>
  <c r="O29" i="1" s="1"/>
  <c r="L35" i="12"/>
  <c r="K35" i="12"/>
  <c r="J35" i="12"/>
  <c r="M35" i="12" s="1"/>
  <c r="L34" i="12"/>
  <c r="K34" i="12"/>
  <c r="J34" i="12"/>
  <c r="M34" i="12" s="1"/>
  <c r="L33" i="12"/>
  <c r="K33" i="12"/>
  <c r="J33" i="12"/>
  <c r="M33" i="12" s="1"/>
  <c r="L32" i="12"/>
  <c r="K32" i="12"/>
  <c r="J32" i="12"/>
  <c r="M32" i="12" s="1"/>
  <c r="L31" i="12"/>
  <c r="K31" i="12"/>
  <c r="J31" i="12"/>
  <c r="M31" i="12" s="1"/>
  <c r="Q181" i="17" s="1"/>
  <c r="L30" i="12"/>
  <c r="K30" i="12"/>
  <c r="J30" i="12"/>
  <c r="M30" i="12" s="1"/>
  <c r="O28" i="1" s="1"/>
  <c r="L29" i="12"/>
  <c r="K29" i="12"/>
  <c r="J29" i="12"/>
  <c r="M29" i="12" s="1"/>
  <c r="L28" i="12"/>
  <c r="K28" i="12"/>
  <c r="J28" i="12"/>
  <c r="M28" i="12" s="1"/>
  <c r="L27" i="12"/>
  <c r="K27" i="12"/>
  <c r="J27" i="12"/>
  <c r="M27" i="12" s="1"/>
  <c r="L26" i="12"/>
  <c r="K26" i="12"/>
  <c r="J26" i="12"/>
  <c r="M26" i="12" s="1"/>
  <c r="L25" i="12"/>
  <c r="K25" i="12"/>
  <c r="J25" i="12"/>
  <c r="M25" i="12" s="1"/>
  <c r="L24" i="12"/>
  <c r="K24" i="12"/>
  <c r="J24" i="12"/>
  <c r="M24" i="12" s="1"/>
  <c r="Q180" i="17" s="1"/>
  <c r="L23" i="12"/>
  <c r="K23" i="12"/>
  <c r="J23" i="12"/>
  <c r="M23" i="12" s="1"/>
  <c r="L22" i="12"/>
  <c r="K22" i="12"/>
  <c r="J22" i="12"/>
  <c r="M22" i="12" s="1"/>
  <c r="O27" i="1" s="1"/>
  <c r="L21" i="12"/>
  <c r="K21" i="12"/>
  <c r="J21" i="12"/>
  <c r="M21" i="12" s="1"/>
  <c r="L20" i="12"/>
  <c r="K20" i="12"/>
  <c r="J20" i="12"/>
  <c r="M20" i="12" s="1"/>
  <c r="L19" i="12"/>
  <c r="K19" i="12"/>
  <c r="J19" i="12"/>
  <c r="L18" i="12"/>
  <c r="K18" i="12"/>
  <c r="J18" i="12"/>
  <c r="M18" i="12" s="1"/>
  <c r="O23" i="1" s="1"/>
  <c r="L17" i="12"/>
  <c r="K17" i="12"/>
  <c r="J17" i="12"/>
  <c r="M17" i="12" s="1"/>
  <c r="L16" i="12"/>
  <c r="K16" i="12"/>
  <c r="J16" i="12"/>
  <c r="M16" i="12" s="1"/>
  <c r="O22" i="1" s="1"/>
  <c r="L15" i="12"/>
  <c r="K15" i="12"/>
  <c r="J15" i="12"/>
  <c r="L14" i="12"/>
  <c r="K14" i="12"/>
  <c r="J14" i="12"/>
  <c r="M14" i="12" s="1"/>
  <c r="L13" i="12"/>
  <c r="K13" i="12"/>
  <c r="J13" i="12"/>
  <c r="M13" i="12" s="1"/>
  <c r="O19" i="1" s="1"/>
  <c r="L12" i="12"/>
  <c r="K12" i="12"/>
  <c r="J12" i="12"/>
  <c r="M12" i="12" s="1"/>
  <c r="O18" i="1" s="1"/>
  <c r="L11" i="12"/>
  <c r="K11" i="12"/>
  <c r="J11" i="12"/>
  <c r="L10" i="12"/>
  <c r="K10" i="12"/>
  <c r="J10" i="12"/>
  <c r="M10" i="12" s="1"/>
  <c r="O16" i="1" s="1"/>
  <c r="L9" i="12"/>
  <c r="K9" i="12"/>
  <c r="J9" i="12"/>
  <c r="M9" i="12" s="1"/>
  <c r="L8" i="12"/>
  <c r="K8" i="12"/>
  <c r="J8" i="12"/>
  <c r="M8" i="12" s="1"/>
  <c r="O14" i="1" s="1"/>
  <c r="L7" i="12"/>
  <c r="K7" i="12"/>
  <c r="J7" i="12"/>
  <c r="L6" i="12"/>
  <c r="K6" i="12"/>
  <c r="J6" i="12"/>
  <c r="M6" i="12" s="1"/>
  <c r="O6" i="1" s="1"/>
  <c r="L5" i="12"/>
  <c r="K5" i="12"/>
  <c r="J5" i="12"/>
  <c r="M5" i="12" s="1"/>
  <c r="L4" i="12"/>
  <c r="K4" i="12"/>
  <c r="J4" i="12"/>
  <c r="M4" i="12" s="1"/>
  <c r="L3" i="12"/>
  <c r="K3" i="12"/>
  <c r="J3" i="12"/>
  <c r="L2" i="12"/>
  <c r="K2" i="12"/>
  <c r="J2" i="12"/>
  <c r="M2" i="12" s="1"/>
  <c r="O4" i="1" s="1"/>
  <c r="L130" i="13"/>
  <c r="K130" i="13"/>
  <c r="J130" i="13"/>
  <c r="M130" i="13" s="1"/>
  <c r="M129" i="13"/>
  <c r="L129" i="13"/>
  <c r="K129" i="13"/>
  <c r="J129" i="13"/>
  <c r="M128" i="13"/>
  <c r="L128" i="13"/>
  <c r="K128" i="13"/>
  <c r="J128" i="13"/>
  <c r="M127" i="13"/>
  <c r="L127" i="13"/>
  <c r="K127" i="13"/>
  <c r="J127" i="13"/>
  <c r="M126" i="13"/>
  <c r="L126" i="13"/>
  <c r="K126" i="13"/>
  <c r="J126" i="13"/>
  <c r="L125" i="13"/>
  <c r="K125" i="13"/>
  <c r="J125" i="13"/>
  <c r="M125" i="13" s="1"/>
  <c r="M124" i="13"/>
  <c r="L124" i="13"/>
  <c r="K124" i="13"/>
  <c r="J124" i="13"/>
  <c r="M123" i="13"/>
  <c r="L123" i="13"/>
  <c r="K123" i="13"/>
  <c r="J123" i="13"/>
  <c r="L122" i="13"/>
  <c r="K122" i="13"/>
  <c r="J122" i="13"/>
  <c r="M122" i="13" s="1"/>
  <c r="L121" i="13"/>
  <c r="K121" i="13"/>
  <c r="J121" i="13"/>
  <c r="M121" i="13" s="1"/>
  <c r="L120" i="13"/>
  <c r="K120" i="13"/>
  <c r="J120" i="13"/>
  <c r="M120" i="13" s="1"/>
  <c r="L119" i="13"/>
  <c r="K119" i="13"/>
  <c r="J119" i="13"/>
  <c r="M119" i="13" s="1"/>
  <c r="L117" i="13"/>
  <c r="K117" i="13"/>
  <c r="J117" i="13"/>
  <c r="M117" i="13" s="1"/>
  <c r="L116" i="13"/>
  <c r="K116" i="13"/>
  <c r="J116" i="13"/>
  <c r="M116" i="13" s="1"/>
  <c r="L115" i="13"/>
  <c r="K115" i="13"/>
  <c r="J115" i="13"/>
  <c r="M115" i="13" s="1"/>
  <c r="M114" i="13"/>
  <c r="L114" i="13"/>
  <c r="K114" i="13"/>
  <c r="J114" i="13"/>
  <c r="M113" i="13"/>
  <c r="L113" i="13"/>
  <c r="K113" i="13"/>
  <c r="J113" i="13"/>
  <c r="L112" i="13"/>
  <c r="K112" i="13"/>
  <c r="J112" i="13"/>
  <c r="M112" i="13" s="1"/>
  <c r="L111" i="13"/>
  <c r="K111" i="13"/>
  <c r="J111" i="13"/>
  <c r="M111" i="13" s="1"/>
  <c r="L110" i="13"/>
  <c r="K110" i="13"/>
  <c r="J110" i="13"/>
  <c r="M110" i="13" s="1"/>
  <c r="L109" i="13"/>
  <c r="K109" i="13"/>
  <c r="J109" i="13"/>
  <c r="M109" i="13" s="1"/>
  <c r="L108" i="13"/>
  <c r="K108" i="13"/>
  <c r="J108" i="13"/>
  <c r="M108" i="13" s="1"/>
  <c r="L107" i="13"/>
  <c r="K107" i="13"/>
  <c r="J107" i="13"/>
  <c r="M107" i="13" s="1"/>
  <c r="M106" i="13"/>
  <c r="L106" i="13"/>
  <c r="K106" i="13"/>
  <c r="J106" i="13"/>
  <c r="L105" i="13"/>
  <c r="K105" i="13"/>
  <c r="J105" i="13"/>
  <c r="M105" i="13" s="1"/>
  <c r="L104" i="13"/>
  <c r="K104" i="13"/>
  <c r="J104" i="13"/>
  <c r="M104" i="13" s="1"/>
  <c r="L103" i="13"/>
  <c r="K103" i="13"/>
  <c r="J103" i="13"/>
  <c r="M103" i="13" s="1"/>
  <c r="L98" i="13"/>
  <c r="K98" i="13"/>
  <c r="J98" i="13"/>
  <c r="M98" i="13" s="1"/>
  <c r="R196" i="17" s="1"/>
  <c r="L97" i="13"/>
  <c r="K97" i="13"/>
  <c r="J97" i="13"/>
  <c r="M97" i="13" s="1"/>
  <c r="R199" i="17" s="1"/>
  <c r="L96" i="13"/>
  <c r="K96" i="13"/>
  <c r="J96" i="13"/>
  <c r="M96" i="13" s="1"/>
  <c r="L95" i="13"/>
  <c r="K95" i="13"/>
  <c r="J95" i="13"/>
  <c r="M95" i="13" s="1"/>
  <c r="L94" i="13"/>
  <c r="K94" i="13"/>
  <c r="J94" i="13"/>
  <c r="M94" i="13" s="1"/>
  <c r="R198" i="17" s="1"/>
  <c r="L93" i="13"/>
  <c r="K93" i="13"/>
  <c r="J93" i="13"/>
  <c r="M93" i="13" s="1"/>
  <c r="L92" i="13"/>
  <c r="K92" i="13"/>
  <c r="J92" i="13"/>
  <c r="M92" i="13" s="1"/>
  <c r="L91" i="13"/>
  <c r="K91" i="13"/>
  <c r="J91" i="13"/>
  <c r="M91" i="13" s="1"/>
  <c r="L90" i="13"/>
  <c r="K90" i="13"/>
  <c r="J90" i="13"/>
  <c r="M90" i="13" s="1"/>
  <c r="L89" i="13"/>
  <c r="K89" i="13"/>
  <c r="J89" i="13"/>
  <c r="M89" i="13" s="1"/>
  <c r="L88" i="13"/>
  <c r="K88" i="13"/>
  <c r="J88" i="13"/>
  <c r="M88" i="13" s="1"/>
  <c r="L87" i="13"/>
  <c r="K87" i="13"/>
  <c r="J87" i="13"/>
  <c r="M87" i="13" s="1"/>
  <c r="L86" i="13"/>
  <c r="K86" i="13"/>
  <c r="J86" i="13"/>
  <c r="M86" i="13" s="1"/>
  <c r="L85" i="13"/>
  <c r="K85" i="13"/>
  <c r="J85" i="13"/>
  <c r="M85" i="13" s="1"/>
  <c r="L84" i="13"/>
  <c r="K84" i="13"/>
  <c r="J84" i="13"/>
  <c r="M84" i="13" s="1"/>
  <c r="L83" i="13"/>
  <c r="K83" i="13"/>
  <c r="J83" i="13"/>
  <c r="M83" i="13" s="1"/>
  <c r="L82" i="13"/>
  <c r="K82" i="13"/>
  <c r="J82" i="13"/>
  <c r="M82" i="13" s="1"/>
  <c r="L80" i="13"/>
  <c r="K80" i="13"/>
  <c r="J80" i="13"/>
  <c r="M80" i="13" s="1"/>
  <c r="L76" i="13"/>
  <c r="K76" i="13"/>
  <c r="J76" i="13"/>
  <c r="M76" i="13" s="1"/>
  <c r="L75" i="13"/>
  <c r="K75" i="13"/>
  <c r="J75" i="13"/>
  <c r="M75" i="13" s="1"/>
  <c r="L74" i="13"/>
  <c r="K74" i="13"/>
  <c r="J74" i="13"/>
  <c r="M74" i="13" s="1"/>
  <c r="L73" i="13"/>
  <c r="K73" i="13"/>
  <c r="J73" i="13"/>
  <c r="M73" i="13" s="1"/>
  <c r="L71" i="13"/>
  <c r="K71" i="13"/>
  <c r="J71" i="13"/>
  <c r="M71" i="13" s="1"/>
  <c r="L70" i="13"/>
  <c r="K70" i="13"/>
  <c r="J70" i="13"/>
  <c r="M70" i="13" s="1"/>
  <c r="L69" i="13"/>
  <c r="K69" i="13"/>
  <c r="J69" i="13"/>
  <c r="M69" i="13" s="1"/>
  <c r="L68" i="13"/>
  <c r="K68" i="13"/>
  <c r="J68" i="13"/>
  <c r="M68" i="13" s="1"/>
  <c r="L67" i="13"/>
  <c r="K67" i="13"/>
  <c r="J67" i="13"/>
  <c r="M67" i="13" s="1"/>
  <c r="L66" i="13"/>
  <c r="K66" i="13"/>
  <c r="J66" i="13"/>
  <c r="M66" i="13" s="1"/>
  <c r="L62" i="13"/>
  <c r="K62" i="13"/>
  <c r="J62" i="13"/>
  <c r="M62" i="13" s="1"/>
  <c r="L61" i="13"/>
  <c r="K61" i="13"/>
  <c r="J61" i="13"/>
  <c r="M61" i="13" s="1"/>
  <c r="L60" i="13"/>
  <c r="K60" i="13"/>
  <c r="J60" i="13"/>
  <c r="M60" i="13" s="1"/>
  <c r="R200" i="17" s="1"/>
  <c r="L59" i="13"/>
  <c r="K59" i="13"/>
  <c r="J59" i="13"/>
  <c r="M59" i="13" s="1"/>
  <c r="L58" i="13"/>
  <c r="K58" i="13"/>
  <c r="J58" i="13"/>
  <c r="M58" i="13" s="1"/>
  <c r="L57" i="13"/>
  <c r="K57" i="13"/>
  <c r="J57" i="13"/>
  <c r="M57" i="13" s="1"/>
  <c r="L56" i="13"/>
  <c r="K56" i="13"/>
  <c r="J56" i="13"/>
  <c r="M56" i="13" s="1"/>
  <c r="L55" i="13"/>
  <c r="K55" i="13"/>
  <c r="J55" i="13"/>
  <c r="M55" i="13" s="1"/>
  <c r="R178" i="17" s="1"/>
  <c r="L53" i="13"/>
  <c r="K53" i="13"/>
  <c r="J53" i="13"/>
  <c r="M53" i="13" s="1"/>
  <c r="L52" i="13"/>
  <c r="K52" i="13"/>
  <c r="J52" i="13"/>
  <c r="M52" i="13" s="1"/>
  <c r="L51" i="13"/>
  <c r="K51" i="13"/>
  <c r="J51" i="13"/>
  <c r="M51" i="13" s="1"/>
  <c r="L50" i="13"/>
  <c r="K50" i="13"/>
  <c r="J50" i="13"/>
  <c r="M50" i="13" s="1"/>
  <c r="R186" i="17" s="1"/>
  <c r="L49" i="13"/>
  <c r="K49" i="13"/>
  <c r="J49" i="13"/>
  <c r="M49" i="13" s="1"/>
  <c r="L48" i="13"/>
  <c r="K48" i="13"/>
  <c r="J48" i="13"/>
  <c r="M48" i="13" s="1"/>
  <c r="L47" i="13"/>
  <c r="K47" i="13"/>
  <c r="J47" i="13"/>
  <c r="M47" i="13" s="1"/>
  <c r="L46" i="13"/>
  <c r="K46" i="13"/>
  <c r="J46" i="13"/>
  <c r="M46" i="13" s="1"/>
  <c r="L45" i="13"/>
  <c r="K45" i="13"/>
  <c r="J45" i="13"/>
  <c r="M45" i="13" s="1"/>
  <c r="L44" i="13"/>
  <c r="K44" i="13"/>
  <c r="J44" i="13"/>
  <c r="M44" i="13" s="1"/>
  <c r="R185" i="17" s="1"/>
  <c r="L43" i="13"/>
  <c r="K43" i="13"/>
  <c r="J43" i="13"/>
  <c r="M43" i="13" s="1"/>
  <c r="L42" i="13"/>
  <c r="K42" i="13"/>
  <c r="J42" i="13"/>
  <c r="M42" i="13" s="1"/>
  <c r="L41" i="13"/>
  <c r="K41" i="13"/>
  <c r="J41" i="13"/>
  <c r="M41" i="13" s="1"/>
  <c r="L40" i="13"/>
  <c r="K40" i="13"/>
  <c r="J40" i="13"/>
  <c r="M40" i="13" s="1"/>
  <c r="L39" i="13"/>
  <c r="K39" i="13"/>
  <c r="J39" i="13"/>
  <c r="M39" i="13" s="1"/>
  <c r="L38" i="13"/>
  <c r="K38" i="13"/>
  <c r="J38" i="13"/>
  <c r="M38" i="13" s="1"/>
  <c r="R184" i="17" s="1"/>
  <c r="L37" i="13"/>
  <c r="K37" i="13"/>
  <c r="J37" i="13"/>
  <c r="M37" i="13" s="1"/>
  <c r="R183" i="17" s="1"/>
  <c r="L36" i="13"/>
  <c r="K36" i="13"/>
  <c r="J36" i="13"/>
  <c r="M36" i="13" s="1"/>
  <c r="L35" i="13"/>
  <c r="K35" i="13"/>
  <c r="J35" i="13"/>
  <c r="M35" i="13" s="1"/>
  <c r="L34" i="13"/>
  <c r="K34" i="13"/>
  <c r="J34" i="13"/>
  <c r="M34" i="13" s="1"/>
  <c r="L33" i="13"/>
  <c r="K33" i="13"/>
  <c r="J33" i="13"/>
  <c r="M33" i="13" s="1"/>
  <c r="R182" i="17" s="1"/>
  <c r="L32" i="13"/>
  <c r="K32" i="13"/>
  <c r="J32" i="13"/>
  <c r="M32" i="13" s="1"/>
  <c r="L31" i="13"/>
  <c r="K31" i="13"/>
  <c r="J31" i="13"/>
  <c r="M31" i="13" s="1"/>
  <c r="L30" i="13"/>
  <c r="K30" i="13"/>
  <c r="J30" i="13"/>
  <c r="M30" i="13" s="1"/>
  <c r="L29" i="13"/>
  <c r="K29" i="13"/>
  <c r="J29" i="13"/>
  <c r="M29" i="13" s="1"/>
  <c r="L28" i="13"/>
  <c r="K28" i="13"/>
  <c r="J28" i="13"/>
  <c r="M28" i="13" s="1"/>
  <c r="L27" i="13"/>
  <c r="K27" i="13"/>
  <c r="J27" i="13"/>
  <c r="M27" i="13" s="1"/>
  <c r="R181" i="17" s="1"/>
  <c r="L26" i="13"/>
  <c r="K26" i="13"/>
  <c r="J26" i="13"/>
  <c r="M26" i="13" s="1"/>
  <c r="L25" i="13"/>
  <c r="K25" i="13"/>
  <c r="J25" i="13"/>
  <c r="M25" i="13" s="1"/>
  <c r="L24" i="13"/>
  <c r="K24" i="13"/>
  <c r="J24" i="13"/>
  <c r="M24" i="13" s="1"/>
  <c r="L23" i="13"/>
  <c r="K23" i="13"/>
  <c r="J23" i="13"/>
  <c r="M23" i="13" s="1"/>
  <c r="R180" i="17" s="1"/>
  <c r="L22" i="13"/>
  <c r="K22" i="13"/>
  <c r="J22" i="13"/>
  <c r="M22" i="13" s="1"/>
  <c r="L21" i="13"/>
  <c r="K21" i="13"/>
  <c r="J21" i="13"/>
  <c r="M21" i="13" s="1"/>
  <c r="L20" i="13"/>
  <c r="K20" i="13"/>
  <c r="J20" i="13"/>
  <c r="M20" i="13" s="1"/>
  <c r="L19" i="13"/>
  <c r="K19" i="13"/>
  <c r="J19" i="13"/>
  <c r="M19" i="13" s="1"/>
  <c r="L18" i="13"/>
  <c r="K18" i="13"/>
  <c r="J18" i="13"/>
  <c r="M18" i="13" s="1"/>
  <c r="L17" i="13"/>
  <c r="K17" i="13"/>
  <c r="J17" i="13"/>
  <c r="M17" i="13" s="1"/>
  <c r="L16" i="13"/>
  <c r="K16" i="13"/>
  <c r="J16" i="13"/>
  <c r="M16" i="13" s="1"/>
  <c r="L15" i="13"/>
  <c r="K15" i="13"/>
  <c r="J15" i="13"/>
  <c r="M15" i="13" s="1"/>
  <c r="M14" i="13"/>
  <c r="L14" i="13"/>
  <c r="K14" i="13"/>
  <c r="J14" i="13"/>
  <c r="L13" i="13"/>
  <c r="K13" i="13"/>
  <c r="J13" i="13"/>
  <c r="M13" i="13" s="1"/>
  <c r="L12" i="13"/>
  <c r="K12" i="13"/>
  <c r="J12" i="13"/>
  <c r="M12" i="13" s="1"/>
  <c r="L11" i="13"/>
  <c r="K11" i="13"/>
  <c r="J11" i="13"/>
  <c r="M11" i="13" s="1"/>
  <c r="L10" i="13"/>
  <c r="K10" i="13"/>
  <c r="J10" i="13"/>
  <c r="M10" i="13" s="1"/>
  <c r="L9" i="13"/>
  <c r="K9" i="13"/>
  <c r="J9" i="13"/>
  <c r="M9" i="13" s="1"/>
  <c r="L8" i="13"/>
  <c r="K8" i="13"/>
  <c r="J8" i="13"/>
  <c r="M8" i="13" s="1"/>
  <c r="L7" i="13"/>
  <c r="K7" i="13"/>
  <c r="J7" i="13"/>
  <c r="M7" i="13" s="1"/>
  <c r="R176" i="17" s="1"/>
  <c r="L6" i="13"/>
  <c r="K6" i="13"/>
  <c r="J6" i="13"/>
  <c r="M6" i="13" s="1"/>
  <c r="L5" i="13"/>
  <c r="K5" i="13"/>
  <c r="J5" i="13"/>
  <c r="M5" i="13" s="1"/>
  <c r="L4" i="13"/>
  <c r="K4" i="13"/>
  <c r="J4" i="13"/>
  <c r="M4" i="13" s="1"/>
  <c r="L3" i="13"/>
  <c r="K3" i="13"/>
  <c r="J3" i="13"/>
  <c r="M3" i="13" s="1"/>
  <c r="M2" i="13"/>
  <c r="L2" i="13"/>
  <c r="K2" i="13"/>
  <c r="J2" i="13"/>
  <c r="L134" i="14"/>
  <c r="K134" i="14"/>
  <c r="J134" i="14"/>
  <c r="M134" i="14" s="1"/>
  <c r="L133" i="14"/>
  <c r="K133" i="14"/>
  <c r="J133" i="14"/>
  <c r="M133" i="14" s="1"/>
  <c r="M132" i="14"/>
  <c r="L132" i="14"/>
  <c r="K132" i="14"/>
  <c r="J132" i="14"/>
  <c r="M131" i="14"/>
  <c r="L131" i="14"/>
  <c r="K131" i="14"/>
  <c r="J131" i="14"/>
  <c r="M130" i="14"/>
  <c r="L130" i="14"/>
  <c r="K130" i="14"/>
  <c r="J130" i="14"/>
  <c r="M129" i="14"/>
  <c r="L129" i="14"/>
  <c r="K129" i="14"/>
  <c r="J129" i="14"/>
  <c r="M128" i="14"/>
  <c r="L128" i="14"/>
  <c r="K128" i="14"/>
  <c r="J128" i="14"/>
  <c r="M127" i="14"/>
  <c r="L127" i="14"/>
  <c r="K127" i="14"/>
  <c r="J127" i="14"/>
  <c r="M126" i="14"/>
  <c r="L126" i="14"/>
  <c r="K126" i="14"/>
  <c r="J126" i="14"/>
  <c r="M125" i="14"/>
  <c r="L125" i="14"/>
  <c r="K125" i="14"/>
  <c r="J125" i="14"/>
  <c r="M124" i="14"/>
  <c r="L124" i="14"/>
  <c r="K124" i="14"/>
  <c r="J124" i="14"/>
  <c r="M123" i="14"/>
  <c r="L123" i="14"/>
  <c r="K123" i="14"/>
  <c r="J123" i="14"/>
  <c r="M122" i="14"/>
  <c r="L122" i="14"/>
  <c r="K122" i="14"/>
  <c r="J122" i="14"/>
  <c r="M121" i="14"/>
  <c r="L121" i="14"/>
  <c r="K121" i="14"/>
  <c r="J121" i="14"/>
  <c r="M116" i="14"/>
  <c r="L116" i="14"/>
  <c r="K116" i="14"/>
  <c r="J116" i="14"/>
  <c r="M115" i="14"/>
  <c r="S179" i="17" s="1"/>
  <c r="L115" i="14"/>
  <c r="K115" i="14"/>
  <c r="J115" i="14"/>
  <c r="M114" i="14"/>
  <c r="L114" i="14"/>
  <c r="K114" i="14"/>
  <c r="J114" i="14"/>
  <c r="M113" i="14"/>
  <c r="L113" i="14"/>
  <c r="K113" i="14"/>
  <c r="J113" i="14"/>
  <c r="M112" i="14"/>
  <c r="S196" i="17" s="1"/>
  <c r="L112" i="14"/>
  <c r="K112" i="14"/>
  <c r="J112" i="14"/>
  <c r="M111" i="14"/>
  <c r="S199" i="17" s="1"/>
  <c r="L111" i="14"/>
  <c r="K111" i="14"/>
  <c r="J111" i="14"/>
  <c r="M110" i="14"/>
  <c r="L110" i="14"/>
  <c r="K110" i="14"/>
  <c r="J110" i="14"/>
  <c r="M109" i="14"/>
  <c r="S198" i="17" s="1"/>
  <c r="L109" i="14"/>
  <c r="K109" i="14"/>
  <c r="J109" i="14"/>
  <c r="M108" i="14"/>
  <c r="L108" i="14"/>
  <c r="K108" i="14"/>
  <c r="J108" i="14"/>
  <c r="M107" i="14"/>
  <c r="L107" i="14"/>
  <c r="K107" i="14"/>
  <c r="J107" i="14"/>
  <c r="M106" i="14"/>
  <c r="L106" i="14"/>
  <c r="K106" i="14"/>
  <c r="J106" i="14"/>
  <c r="M105" i="14"/>
  <c r="L105" i="14"/>
  <c r="K105" i="14"/>
  <c r="J105" i="14"/>
  <c r="M104" i="14"/>
  <c r="L104" i="14"/>
  <c r="K104" i="14"/>
  <c r="J104" i="14"/>
  <c r="M103" i="14"/>
  <c r="L103" i="14"/>
  <c r="K103" i="14"/>
  <c r="J103" i="14"/>
  <c r="M102" i="14"/>
  <c r="L102" i="14"/>
  <c r="K102" i="14"/>
  <c r="J102" i="14"/>
  <c r="M101" i="14"/>
  <c r="L101" i="14"/>
  <c r="K101" i="14"/>
  <c r="J101" i="14"/>
  <c r="M100" i="14"/>
  <c r="L100" i="14"/>
  <c r="K100" i="14"/>
  <c r="J100" i="14"/>
  <c r="M99" i="14"/>
  <c r="L99" i="14"/>
  <c r="K99" i="14"/>
  <c r="J99" i="14"/>
  <c r="M98" i="14"/>
  <c r="S197" i="17" s="1"/>
  <c r="L98" i="14"/>
  <c r="K98" i="14"/>
  <c r="J98" i="14"/>
  <c r="M97" i="14"/>
  <c r="L97" i="14"/>
  <c r="K97" i="14"/>
  <c r="J97" i="14"/>
  <c r="M96" i="14"/>
  <c r="L96" i="14"/>
  <c r="K96" i="14"/>
  <c r="J96" i="14"/>
  <c r="M95" i="14"/>
  <c r="L95" i="14"/>
  <c r="K95" i="14"/>
  <c r="J95" i="14"/>
  <c r="M94" i="14"/>
  <c r="L94" i="14"/>
  <c r="K94" i="14"/>
  <c r="J94" i="14"/>
  <c r="M93" i="14"/>
  <c r="L93" i="14"/>
  <c r="K93" i="14"/>
  <c r="J93" i="14"/>
  <c r="M92" i="14"/>
  <c r="L92" i="14"/>
  <c r="K92" i="14"/>
  <c r="J92" i="14"/>
  <c r="M91" i="14"/>
  <c r="L91" i="14"/>
  <c r="K91" i="14"/>
  <c r="J91" i="14"/>
  <c r="M90" i="14"/>
  <c r="L90" i="14"/>
  <c r="K90" i="14"/>
  <c r="J90" i="14"/>
  <c r="M89" i="14"/>
  <c r="L89" i="14"/>
  <c r="K89" i="14"/>
  <c r="J89" i="14"/>
  <c r="M88" i="14"/>
  <c r="L88" i="14"/>
  <c r="K88" i="14"/>
  <c r="J88" i="14"/>
  <c r="M87" i="14"/>
  <c r="L87" i="14"/>
  <c r="K87" i="14"/>
  <c r="J87" i="14"/>
  <c r="M86" i="14"/>
  <c r="L86" i="14"/>
  <c r="K86" i="14"/>
  <c r="J86" i="14"/>
  <c r="M85" i="14"/>
  <c r="L85" i="14"/>
  <c r="K85" i="14"/>
  <c r="J85" i="14"/>
  <c r="M84" i="14"/>
  <c r="L84" i="14"/>
  <c r="K84" i="14"/>
  <c r="J84" i="14"/>
  <c r="M83" i="14"/>
  <c r="L83" i="14"/>
  <c r="K83" i="14"/>
  <c r="J83" i="14"/>
  <c r="M82" i="14"/>
  <c r="L82" i="14"/>
  <c r="K82" i="14"/>
  <c r="J82" i="14"/>
  <c r="M81" i="14"/>
  <c r="L81" i="14"/>
  <c r="K81" i="14"/>
  <c r="J81" i="14"/>
  <c r="M80" i="14"/>
  <c r="L80" i="14"/>
  <c r="K80" i="14"/>
  <c r="J80" i="14"/>
  <c r="M79" i="14"/>
  <c r="L79" i="14"/>
  <c r="K79" i="14"/>
  <c r="J79" i="14"/>
  <c r="M78" i="14"/>
  <c r="L78" i="14"/>
  <c r="K78" i="14"/>
  <c r="J78" i="14"/>
  <c r="M77" i="14"/>
  <c r="L77" i="14"/>
  <c r="K77" i="14"/>
  <c r="J77" i="14"/>
  <c r="M76" i="14"/>
  <c r="S192" i="17" s="1"/>
  <c r="L76" i="14"/>
  <c r="K76" i="14"/>
  <c r="J76" i="14"/>
  <c r="M75" i="14"/>
  <c r="L75" i="14"/>
  <c r="K75" i="14"/>
  <c r="J75" i="14"/>
  <c r="M74" i="14"/>
  <c r="L74" i="14"/>
  <c r="K74" i="14"/>
  <c r="J74" i="14"/>
  <c r="M73" i="14"/>
  <c r="L73" i="14"/>
  <c r="K73" i="14"/>
  <c r="J73" i="14"/>
  <c r="M72" i="14"/>
  <c r="L72" i="14"/>
  <c r="K72" i="14"/>
  <c r="J72" i="14"/>
  <c r="M71" i="14"/>
  <c r="L71" i="14"/>
  <c r="K71" i="14"/>
  <c r="J71" i="14"/>
  <c r="M70" i="14"/>
  <c r="S191" i="17" s="1"/>
  <c r="L70" i="14"/>
  <c r="K70" i="14"/>
  <c r="J70" i="14"/>
  <c r="M69" i="14"/>
  <c r="L69" i="14"/>
  <c r="K69" i="14"/>
  <c r="J69" i="14"/>
  <c r="M68" i="14"/>
  <c r="S190" i="17" s="1"/>
  <c r="L68" i="14"/>
  <c r="K68" i="14"/>
  <c r="J68" i="14"/>
  <c r="M67" i="14"/>
  <c r="S189" i="17" s="1"/>
  <c r="L67" i="14"/>
  <c r="K67" i="14"/>
  <c r="J67" i="14"/>
  <c r="M66" i="14"/>
  <c r="S188" i="17" s="1"/>
  <c r="L66" i="14"/>
  <c r="K66" i="14"/>
  <c r="J66" i="14"/>
  <c r="M65" i="14"/>
  <c r="L65" i="14"/>
  <c r="K65" i="14"/>
  <c r="J65" i="14"/>
  <c r="M64" i="14"/>
  <c r="L64" i="14"/>
  <c r="K64" i="14"/>
  <c r="J64" i="14"/>
  <c r="M63" i="14"/>
  <c r="L63" i="14"/>
  <c r="K63" i="14"/>
  <c r="J63" i="14"/>
  <c r="M62" i="14"/>
  <c r="L62" i="14"/>
  <c r="K62" i="14"/>
  <c r="J62" i="14"/>
  <c r="M61" i="14"/>
  <c r="L61" i="14"/>
  <c r="K61" i="14"/>
  <c r="J61" i="14"/>
  <c r="M60" i="14"/>
  <c r="L60" i="14"/>
  <c r="K60" i="14"/>
  <c r="J60" i="14"/>
  <c r="M59" i="14"/>
  <c r="L59" i="14"/>
  <c r="K59" i="14"/>
  <c r="J59" i="14"/>
  <c r="M58" i="14"/>
  <c r="L58" i="14"/>
  <c r="K58" i="14"/>
  <c r="J58" i="14"/>
  <c r="M57" i="14"/>
  <c r="L57" i="14"/>
  <c r="K57" i="14"/>
  <c r="J57" i="14"/>
  <c r="M56" i="14"/>
  <c r="L56" i="14"/>
  <c r="K56" i="14"/>
  <c r="J56" i="14"/>
  <c r="M55" i="14"/>
  <c r="L55" i="14"/>
  <c r="K55" i="14"/>
  <c r="J55" i="14"/>
  <c r="M54" i="14"/>
  <c r="S187" i="17" s="1"/>
  <c r="L54" i="14"/>
  <c r="K54" i="14"/>
  <c r="J54" i="14"/>
  <c r="M53" i="14"/>
  <c r="L53" i="14"/>
  <c r="K53" i="14"/>
  <c r="J53" i="14"/>
  <c r="M52" i="14"/>
  <c r="L52" i="14"/>
  <c r="K52" i="14"/>
  <c r="J52" i="14"/>
  <c r="M51" i="14"/>
  <c r="L51" i="14"/>
  <c r="K51" i="14"/>
  <c r="J51" i="14"/>
  <c r="M50" i="14"/>
  <c r="L50" i="14"/>
  <c r="K50" i="14"/>
  <c r="J50" i="14"/>
  <c r="M49" i="14"/>
  <c r="S200" i="17" s="1"/>
  <c r="L49" i="14"/>
  <c r="K49" i="14"/>
  <c r="J49" i="14"/>
  <c r="M48" i="14"/>
  <c r="L48" i="14"/>
  <c r="K48" i="14"/>
  <c r="J48" i="14"/>
  <c r="M47" i="14"/>
  <c r="L47" i="14"/>
  <c r="K47" i="14"/>
  <c r="J47" i="14"/>
  <c r="M46" i="14"/>
  <c r="S178" i="17" s="1"/>
  <c r="L46" i="14"/>
  <c r="K46" i="14"/>
  <c r="J46" i="14"/>
  <c r="M45" i="14"/>
  <c r="L45" i="14"/>
  <c r="K45" i="14"/>
  <c r="J45" i="14"/>
  <c r="M44" i="14"/>
  <c r="L44" i="14"/>
  <c r="K44" i="14"/>
  <c r="J44" i="14"/>
  <c r="M43" i="14"/>
  <c r="L43" i="14"/>
  <c r="K43" i="14"/>
  <c r="J43" i="14"/>
  <c r="M42" i="14"/>
  <c r="S186" i="17" s="1"/>
  <c r="L42" i="14"/>
  <c r="K42" i="14"/>
  <c r="J42" i="14"/>
  <c r="M41" i="14"/>
  <c r="L41" i="14"/>
  <c r="K41" i="14"/>
  <c r="J41" i="14"/>
  <c r="M40" i="14"/>
  <c r="L40" i="14"/>
  <c r="K40" i="14"/>
  <c r="J40" i="14"/>
  <c r="M39" i="14"/>
  <c r="L39" i="14"/>
  <c r="K39" i="14"/>
  <c r="J39" i="14"/>
  <c r="M38" i="14"/>
  <c r="L38" i="14"/>
  <c r="K38" i="14"/>
  <c r="J38" i="14"/>
  <c r="M37" i="14"/>
  <c r="L37" i="14"/>
  <c r="K37" i="14"/>
  <c r="J37" i="14"/>
  <c r="M36" i="14"/>
  <c r="S185" i="17" s="1"/>
  <c r="L36" i="14"/>
  <c r="K36" i="14"/>
  <c r="J36" i="14"/>
  <c r="M35" i="14"/>
  <c r="L35" i="14"/>
  <c r="K35" i="14"/>
  <c r="J35" i="14"/>
  <c r="M34" i="14"/>
  <c r="L34" i="14"/>
  <c r="K34" i="14"/>
  <c r="J34" i="14"/>
  <c r="M33" i="14"/>
  <c r="L33" i="14"/>
  <c r="K33" i="14"/>
  <c r="J33" i="14"/>
  <c r="M32" i="14"/>
  <c r="S184" i="17" s="1"/>
  <c r="L32" i="14"/>
  <c r="K32" i="14"/>
  <c r="J32" i="14"/>
  <c r="M31" i="14"/>
  <c r="S183" i="17" s="1"/>
  <c r="L31" i="14"/>
  <c r="K31" i="14"/>
  <c r="J31" i="14"/>
  <c r="M30" i="14"/>
  <c r="L30" i="14"/>
  <c r="K30" i="14"/>
  <c r="J30" i="14"/>
  <c r="M29" i="14"/>
  <c r="L29" i="14"/>
  <c r="K29" i="14"/>
  <c r="J29" i="14"/>
  <c r="M28" i="14"/>
  <c r="L28" i="14"/>
  <c r="K28" i="14"/>
  <c r="J28" i="14"/>
  <c r="M27" i="14"/>
  <c r="S182" i="17" s="1"/>
  <c r="L27" i="14"/>
  <c r="K27" i="14"/>
  <c r="J27" i="14"/>
  <c r="M26" i="14"/>
  <c r="L26" i="14"/>
  <c r="K26" i="14"/>
  <c r="J26" i="14"/>
  <c r="M25" i="14"/>
  <c r="L25" i="14"/>
  <c r="K25" i="14"/>
  <c r="J25" i="14"/>
  <c r="M24" i="14"/>
  <c r="S181" i="17" s="1"/>
  <c r="L24" i="14"/>
  <c r="K24" i="14"/>
  <c r="J24" i="14"/>
  <c r="M23" i="14"/>
  <c r="L23" i="14"/>
  <c r="K23" i="14"/>
  <c r="J23" i="14"/>
  <c r="M22" i="14"/>
  <c r="L22" i="14"/>
  <c r="K22" i="14"/>
  <c r="J22" i="14"/>
  <c r="M21" i="14"/>
  <c r="S180" i="17" s="1"/>
  <c r="L21" i="14"/>
  <c r="K21" i="14"/>
  <c r="J21" i="14"/>
  <c r="M20" i="14"/>
  <c r="L20" i="14"/>
  <c r="K20" i="14"/>
  <c r="J20" i="14"/>
  <c r="M19" i="14"/>
  <c r="L19" i="14"/>
  <c r="K19" i="14"/>
  <c r="J19" i="14"/>
  <c r="M18" i="14"/>
  <c r="L18" i="14"/>
  <c r="K18" i="14"/>
  <c r="J18" i="14"/>
  <c r="M17" i="14"/>
  <c r="L17" i="14"/>
  <c r="K17" i="14"/>
  <c r="J17" i="14"/>
  <c r="M16" i="14"/>
  <c r="L16" i="14"/>
  <c r="K16" i="14"/>
  <c r="J16" i="14"/>
  <c r="M15" i="14"/>
  <c r="L15" i="14"/>
  <c r="K15" i="14"/>
  <c r="J15" i="14"/>
  <c r="M14" i="14"/>
  <c r="L14" i="14"/>
  <c r="K14" i="14"/>
  <c r="J14" i="14"/>
  <c r="M13" i="14"/>
  <c r="L13" i="14"/>
  <c r="K13" i="14"/>
  <c r="J13" i="14"/>
  <c r="M12" i="14"/>
  <c r="L12" i="14"/>
  <c r="K12" i="14"/>
  <c r="J12" i="14"/>
  <c r="M11" i="14"/>
  <c r="L11" i="14"/>
  <c r="K11" i="14"/>
  <c r="J11" i="14"/>
  <c r="M10" i="14"/>
  <c r="L10" i="14"/>
  <c r="K10" i="14"/>
  <c r="J10" i="14"/>
  <c r="M9" i="14"/>
  <c r="L9" i="14"/>
  <c r="K9" i="14"/>
  <c r="J9" i="14"/>
  <c r="M8" i="14"/>
  <c r="S177" i="17" s="1"/>
  <c r="L8" i="14"/>
  <c r="K8" i="14"/>
  <c r="J8" i="14"/>
  <c r="M7" i="14"/>
  <c r="L7" i="14"/>
  <c r="K7" i="14"/>
  <c r="J7" i="14"/>
  <c r="M6" i="14"/>
  <c r="S176" i="17" s="1"/>
  <c r="L6" i="14"/>
  <c r="K6" i="14"/>
  <c r="J6" i="14"/>
  <c r="M5" i="14"/>
  <c r="L5" i="14"/>
  <c r="K5" i="14"/>
  <c r="J5" i="14"/>
  <c r="M4" i="14"/>
  <c r="L4" i="14"/>
  <c r="K4" i="14"/>
  <c r="J4" i="14"/>
  <c r="M3" i="14"/>
  <c r="L3" i="14"/>
  <c r="K3" i="14"/>
  <c r="J3" i="14"/>
  <c r="M2" i="14"/>
  <c r="L2" i="14"/>
  <c r="K2" i="14"/>
  <c r="J2" i="14"/>
  <c r="P142" i="15"/>
  <c r="N142" i="15"/>
  <c r="M142" i="15"/>
  <c r="L142" i="15"/>
  <c r="P141" i="15"/>
  <c r="N141" i="15"/>
  <c r="M141" i="15"/>
  <c r="L141" i="15"/>
  <c r="P140" i="15"/>
  <c r="N140" i="15"/>
  <c r="M140" i="15"/>
  <c r="L140" i="15"/>
  <c r="P137" i="15"/>
  <c r="N137" i="15"/>
  <c r="M137" i="15"/>
  <c r="L137" i="15"/>
  <c r="P136" i="15"/>
  <c r="N136" i="15"/>
  <c r="M136" i="15"/>
  <c r="L136" i="15"/>
  <c r="P135" i="15"/>
  <c r="N135" i="15"/>
  <c r="M135" i="15"/>
  <c r="L135" i="15"/>
  <c r="P134" i="15"/>
  <c r="N134" i="15"/>
  <c r="M134" i="15"/>
  <c r="L134" i="15"/>
  <c r="P133" i="15"/>
  <c r="N133" i="15"/>
  <c r="M133" i="15"/>
  <c r="L133" i="15"/>
  <c r="P132" i="15"/>
  <c r="N132" i="15"/>
  <c r="M132" i="15"/>
  <c r="L132" i="15"/>
  <c r="P131" i="15"/>
  <c r="N131" i="15"/>
  <c r="M131" i="15"/>
  <c r="L131" i="15"/>
  <c r="P130" i="15"/>
  <c r="N130" i="15"/>
  <c r="M130" i="15"/>
  <c r="L130" i="15"/>
  <c r="P129" i="15"/>
  <c r="T179" i="17" s="1"/>
  <c r="N129" i="15"/>
  <c r="M129" i="15"/>
  <c r="L129" i="15"/>
  <c r="P128" i="15"/>
  <c r="N128" i="15"/>
  <c r="M128" i="15"/>
  <c r="L128" i="15"/>
  <c r="P127" i="15"/>
  <c r="N127" i="15"/>
  <c r="M127" i="15"/>
  <c r="L127" i="15"/>
  <c r="P126" i="15"/>
  <c r="T199" i="17" s="1"/>
  <c r="N126" i="15"/>
  <c r="M126" i="15"/>
  <c r="L126" i="15"/>
  <c r="P125" i="15"/>
  <c r="T198" i="17" s="1"/>
  <c r="N125" i="15"/>
  <c r="M125" i="15"/>
  <c r="L125" i="15"/>
  <c r="P124" i="15"/>
  <c r="N124" i="15"/>
  <c r="M124" i="15"/>
  <c r="L124" i="15"/>
  <c r="P123" i="15"/>
  <c r="N123" i="15"/>
  <c r="M123" i="15"/>
  <c r="L123" i="15"/>
  <c r="P122" i="15"/>
  <c r="N122" i="15"/>
  <c r="M122" i="15"/>
  <c r="L122" i="15"/>
  <c r="P121" i="15"/>
  <c r="N121" i="15"/>
  <c r="M121" i="15"/>
  <c r="L121" i="15"/>
  <c r="P120" i="15"/>
  <c r="N120" i="15"/>
  <c r="M120" i="15"/>
  <c r="L120" i="15"/>
  <c r="P119" i="15"/>
  <c r="N119" i="15"/>
  <c r="M119" i="15"/>
  <c r="L119" i="15"/>
  <c r="P118" i="15"/>
  <c r="N118" i="15"/>
  <c r="M118" i="15"/>
  <c r="L118" i="15"/>
  <c r="P117" i="15"/>
  <c r="N117" i="15"/>
  <c r="M117" i="15"/>
  <c r="L117" i="15"/>
  <c r="P116" i="15"/>
  <c r="N116" i="15"/>
  <c r="M116" i="15"/>
  <c r="L116" i="15"/>
  <c r="P115" i="15"/>
  <c r="N115" i="15"/>
  <c r="M115" i="15"/>
  <c r="L115" i="15"/>
  <c r="P114" i="15"/>
  <c r="T197" i="17" s="1"/>
  <c r="N114" i="15"/>
  <c r="M114" i="15"/>
  <c r="L114" i="15"/>
  <c r="P113" i="15"/>
  <c r="N113" i="15"/>
  <c r="M113" i="15"/>
  <c r="L113" i="15"/>
  <c r="P112" i="15"/>
  <c r="N112" i="15"/>
  <c r="M112" i="15"/>
  <c r="L112" i="15"/>
  <c r="P111" i="15"/>
  <c r="T196" i="17" s="1"/>
  <c r="N111" i="15"/>
  <c r="M111" i="15"/>
  <c r="L111" i="15"/>
  <c r="P110" i="15"/>
  <c r="T195" i="17" s="1"/>
  <c r="N110" i="15"/>
  <c r="M110" i="15"/>
  <c r="L110" i="15"/>
  <c r="P109" i="15"/>
  <c r="N109" i="15"/>
  <c r="M109" i="15"/>
  <c r="L109" i="15"/>
  <c r="P108" i="15"/>
  <c r="N108" i="15"/>
  <c r="M108" i="15"/>
  <c r="L108" i="15"/>
  <c r="P107" i="15"/>
  <c r="N107" i="15"/>
  <c r="M107" i="15"/>
  <c r="L107" i="15"/>
  <c r="P106" i="15"/>
  <c r="N106" i="15"/>
  <c r="M106" i="15"/>
  <c r="L106" i="15"/>
  <c r="P105" i="15"/>
  <c r="N105" i="15"/>
  <c r="M105" i="15"/>
  <c r="L105" i="15"/>
  <c r="P104" i="15"/>
  <c r="N104" i="15"/>
  <c r="M104" i="15"/>
  <c r="L104" i="15"/>
  <c r="P103" i="15"/>
  <c r="N103" i="15"/>
  <c r="M103" i="15"/>
  <c r="L103" i="15"/>
  <c r="P102" i="15"/>
  <c r="N102" i="15"/>
  <c r="M102" i="15"/>
  <c r="L102" i="15"/>
  <c r="P101" i="15"/>
  <c r="N101" i="15"/>
  <c r="M101" i="15"/>
  <c r="L101" i="15"/>
  <c r="P100" i="15"/>
  <c r="N100" i="15"/>
  <c r="M100" i="15"/>
  <c r="L100" i="15"/>
  <c r="P99" i="15"/>
  <c r="N99" i="15"/>
  <c r="M99" i="15"/>
  <c r="L99" i="15"/>
  <c r="P98" i="15"/>
  <c r="N98" i="15"/>
  <c r="M98" i="15"/>
  <c r="L98" i="15"/>
  <c r="P97" i="15"/>
  <c r="N97" i="15"/>
  <c r="M97" i="15"/>
  <c r="L97" i="15"/>
  <c r="P96" i="15"/>
  <c r="N96" i="15"/>
  <c r="M96" i="15"/>
  <c r="L96" i="15"/>
  <c r="P95" i="15"/>
  <c r="N95" i="15"/>
  <c r="M95" i="15"/>
  <c r="L95" i="15"/>
  <c r="P94" i="15"/>
  <c r="N94" i="15"/>
  <c r="M94" i="15"/>
  <c r="L94" i="15"/>
  <c r="P93" i="15"/>
  <c r="N93" i="15"/>
  <c r="M93" i="15"/>
  <c r="L93" i="15"/>
  <c r="P92" i="15"/>
  <c r="N92" i="15"/>
  <c r="M92" i="15"/>
  <c r="L92" i="15"/>
  <c r="P91" i="15"/>
  <c r="N91" i="15"/>
  <c r="M91" i="15"/>
  <c r="L91" i="15"/>
  <c r="P90" i="15"/>
  <c r="N90" i="15"/>
  <c r="M90" i="15"/>
  <c r="L90" i="15"/>
  <c r="P89" i="15"/>
  <c r="N89" i="15"/>
  <c r="M89" i="15"/>
  <c r="L89" i="15"/>
  <c r="P88" i="15"/>
  <c r="T194" i="17" s="1"/>
  <c r="N88" i="15"/>
  <c r="M88" i="15"/>
  <c r="L88" i="15"/>
  <c r="P87" i="15"/>
  <c r="N87" i="15"/>
  <c r="M87" i="15"/>
  <c r="L87" i="15"/>
  <c r="P86" i="15"/>
  <c r="N86" i="15"/>
  <c r="M86" i="15"/>
  <c r="L86" i="15"/>
  <c r="P85" i="15"/>
  <c r="N85" i="15"/>
  <c r="M85" i="15"/>
  <c r="L85" i="15"/>
  <c r="P84" i="15"/>
  <c r="T193" i="17" s="1"/>
  <c r="N84" i="15"/>
  <c r="M84" i="15"/>
  <c r="L84" i="15"/>
  <c r="P83" i="15"/>
  <c r="N83" i="15"/>
  <c r="M83" i="15"/>
  <c r="L83" i="15"/>
  <c r="P82" i="15"/>
  <c r="N82" i="15"/>
  <c r="M82" i="15"/>
  <c r="L82" i="15"/>
  <c r="P81" i="15"/>
  <c r="N81" i="15"/>
  <c r="M81" i="15"/>
  <c r="L81" i="15"/>
  <c r="P80" i="15"/>
  <c r="N80" i="15"/>
  <c r="M80" i="15"/>
  <c r="L80" i="15"/>
  <c r="P79" i="15"/>
  <c r="N79" i="15"/>
  <c r="M79" i="15"/>
  <c r="L79" i="15"/>
  <c r="P78" i="15"/>
  <c r="N78" i="15"/>
  <c r="M78" i="15"/>
  <c r="L78" i="15"/>
  <c r="P77" i="15"/>
  <c r="N77" i="15"/>
  <c r="M77" i="15"/>
  <c r="L77" i="15"/>
  <c r="P76" i="15"/>
  <c r="N76" i="15"/>
  <c r="M76" i="15"/>
  <c r="L76" i="15"/>
  <c r="P75" i="15"/>
  <c r="N75" i="15"/>
  <c r="M75" i="15"/>
  <c r="L75" i="15"/>
  <c r="P74" i="15"/>
  <c r="T192" i="17" s="1"/>
  <c r="N74" i="15"/>
  <c r="M74" i="15"/>
  <c r="L74" i="15"/>
  <c r="P73" i="15"/>
  <c r="N73" i="15"/>
  <c r="M73" i="15"/>
  <c r="L73" i="15"/>
  <c r="P72" i="15"/>
  <c r="N72" i="15"/>
  <c r="M72" i="15"/>
  <c r="L72" i="15"/>
  <c r="P71" i="15"/>
  <c r="N71" i="15"/>
  <c r="M71" i="15"/>
  <c r="L71" i="15"/>
  <c r="P70" i="15"/>
  <c r="N70" i="15"/>
  <c r="M70" i="15"/>
  <c r="L70" i="15"/>
  <c r="P69" i="15"/>
  <c r="N69" i="15"/>
  <c r="M69" i="15"/>
  <c r="L69" i="15"/>
  <c r="P68" i="15"/>
  <c r="T191" i="17" s="1"/>
  <c r="N68" i="15"/>
  <c r="M68" i="15"/>
  <c r="L68" i="15"/>
  <c r="P67" i="15"/>
  <c r="N67" i="15"/>
  <c r="M67" i="15"/>
  <c r="L67" i="15"/>
  <c r="P66" i="15"/>
  <c r="T190" i="17" s="1"/>
  <c r="N66" i="15"/>
  <c r="M66" i="15"/>
  <c r="L66" i="15"/>
  <c r="P65" i="15"/>
  <c r="T189" i="17" s="1"/>
  <c r="N65" i="15"/>
  <c r="M65" i="15"/>
  <c r="L65" i="15"/>
  <c r="P64" i="15"/>
  <c r="T188" i="17" s="1"/>
  <c r="N64" i="15"/>
  <c r="M64" i="15"/>
  <c r="L64" i="15"/>
  <c r="P63" i="15"/>
  <c r="N63" i="15"/>
  <c r="M63" i="15"/>
  <c r="L63" i="15"/>
  <c r="P62" i="15"/>
  <c r="N62" i="15"/>
  <c r="M62" i="15"/>
  <c r="L62" i="15"/>
  <c r="P61" i="15"/>
  <c r="N61" i="15"/>
  <c r="M61" i="15"/>
  <c r="L61" i="15"/>
  <c r="P60" i="15"/>
  <c r="N60" i="15"/>
  <c r="M60" i="15"/>
  <c r="L60" i="15"/>
  <c r="P59" i="15"/>
  <c r="N59" i="15"/>
  <c r="M59" i="15"/>
  <c r="L59" i="15"/>
  <c r="P58" i="15"/>
  <c r="N58" i="15"/>
  <c r="M58" i="15"/>
  <c r="L58" i="15"/>
  <c r="P57" i="15"/>
  <c r="N57" i="15"/>
  <c r="M57" i="15"/>
  <c r="L57" i="15"/>
  <c r="P56" i="15"/>
  <c r="N56" i="15"/>
  <c r="M56" i="15"/>
  <c r="L56" i="15"/>
  <c r="P55" i="15"/>
  <c r="N55" i="15"/>
  <c r="M55" i="15"/>
  <c r="L55" i="15"/>
  <c r="P54" i="15"/>
  <c r="T187" i="17" s="1"/>
  <c r="N54" i="15"/>
  <c r="M54" i="15"/>
  <c r="L54" i="15"/>
  <c r="P53" i="15"/>
  <c r="N53" i="15"/>
  <c r="M53" i="15"/>
  <c r="L53" i="15"/>
  <c r="P52" i="15"/>
  <c r="N52" i="15"/>
  <c r="M52" i="15"/>
  <c r="L52" i="15"/>
  <c r="P51" i="15"/>
  <c r="N51" i="15"/>
  <c r="M51" i="15"/>
  <c r="L51" i="15"/>
  <c r="P50" i="15"/>
  <c r="T200" i="17" s="1"/>
  <c r="N50" i="15"/>
  <c r="M50" i="15"/>
  <c r="L50" i="15"/>
  <c r="P49" i="15"/>
  <c r="N49" i="15"/>
  <c r="M49" i="15"/>
  <c r="L49" i="15"/>
  <c r="P48" i="15"/>
  <c r="N48" i="15"/>
  <c r="M48" i="15"/>
  <c r="L48" i="15"/>
  <c r="P47" i="15"/>
  <c r="T178" i="17" s="1"/>
  <c r="N47" i="15"/>
  <c r="M47" i="15"/>
  <c r="L47" i="15"/>
  <c r="P46" i="15"/>
  <c r="N46" i="15"/>
  <c r="M46" i="15"/>
  <c r="L46" i="15"/>
  <c r="P45" i="15"/>
  <c r="N45" i="15"/>
  <c r="M45" i="15"/>
  <c r="L45" i="15"/>
  <c r="P44" i="15"/>
  <c r="N44" i="15"/>
  <c r="M44" i="15"/>
  <c r="L44" i="15"/>
  <c r="P43" i="15"/>
  <c r="T186" i="17" s="1"/>
  <c r="N43" i="15"/>
  <c r="M43" i="15"/>
  <c r="L43" i="15"/>
  <c r="P42" i="15"/>
  <c r="N42" i="15"/>
  <c r="M42" i="15"/>
  <c r="L42" i="15"/>
  <c r="P41" i="15"/>
  <c r="N41" i="15"/>
  <c r="M41" i="15"/>
  <c r="L41" i="15"/>
  <c r="P40" i="15"/>
  <c r="N40" i="15"/>
  <c r="M40" i="15"/>
  <c r="L40" i="15"/>
  <c r="P39" i="15"/>
  <c r="N39" i="15"/>
  <c r="M39" i="15"/>
  <c r="L39" i="15"/>
  <c r="P38" i="15"/>
  <c r="N38" i="15"/>
  <c r="M38" i="15"/>
  <c r="L38" i="15"/>
  <c r="P37" i="15"/>
  <c r="T185" i="17" s="1"/>
  <c r="N37" i="15"/>
  <c r="M37" i="15"/>
  <c r="L37" i="15"/>
  <c r="N36" i="15"/>
  <c r="M36" i="15"/>
  <c r="L36" i="15"/>
  <c r="N35" i="15"/>
  <c r="M35" i="15"/>
  <c r="L35" i="15"/>
  <c r="N34" i="15"/>
  <c r="M34" i="15"/>
  <c r="L34" i="15"/>
  <c r="P34" i="15" s="1"/>
  <c r="N33" i="15"/>
  <c r="M33" i="15"/>
  <c r="L33" i="15"/>
  <c r="P33" i="15" s="1"/>
  <c r="T184" i="17" s="1"/>
  <c r="N32" i="15"/>
  <c r="M32" i="15"/>
  <c r="L32" i="15"/>
  <c r="N31" i="15"/>
  <c r="M31" i="15"/>
  <c r="L31" i="15"/>
  <c r="N30" i="15"/>
  <c r="M30" i="15"/>
  <c r="L30" i="15"/>
  <c r="P30" i="15" s="1"/>
  <c r="N29" i="15"/>
  <c r="M29" i="15"/>
  <c r="L29" i="15"/>
  <c r="P29" i="15" s="1"/>
  <c r="N28" i="15"/>
  <c r="M28" i="15"/>
  <c r="L28" i="15"/>
  <c r="N27" i="15"/>
  <c r="M27" i="15"/>
  <c r="L27" i="15"/>
  <c r="N26" i="15"/>
  <c r="M26" i="15"/>
  <c r="L26" i="15"/>
  <c r="P26" i="15" s="1"/>
  <c r="T181" i="17" s="1"/>
  <c r="N25" i="15"/>
  <c r="M25" i="15"/>
  <c r="L25" i="15"/>
  <c r="P25" i="15" s="1"/>
  <c r="N24" i="15"/>
  <c r="M24" i="15"/>
  <c r="L24" i="15"/>
  <c r="N23" i="15"/>
  <c r="M23" i="15"/>
  <c r="L23" i="15"/>
  <c r="N22" i="15"/>
  <c r="M22" i="15"/>
  <c r="L22" i="15"/>
  <c r="P22" i="15" s="1"/>
  <c r="N21" i="15"/>
  <c r="M21" i="15"/>
  <c r="L21" i="15"/>
  <c r="P21" i="15" s="1"/>
  <c r="N20" i="15"/>
  <c r="M20" i="15"/>
  <c r="L20" i="15"/>
  <c r="N19" i="15"/>
  <c r="M19" i="15"/>
  <c r="L19" i="15"/>
  <c r="N18" i="15"/>
  <c r="M18" i="15"/>
  <c r="L18" i="15"/>
  <c r="P18" i="15" s="1"/>
  <c r="N17" i="15"/>
  <c r="M17" i="15"/>
  <c r="L17" i="15"/>
  <c r="P17" i="15" s="1"/>
  <c r="N16" i="15"/>
  <c r="M16" i="15"/>
  <c r="L16" i="15"/>
  <c r="N15" i="15"/>
  <c r="M15" i="15"/>
  <c r="L15" i="15"/>
  <c r="O14" i="15"/>
  <c r="N14" i="15"/>
  <c r="M14" i="15"/>
  <c r="L14" i="15"/>
  <c r="N13" i="15"/>
  <c r="M13" i="15"/>
  <c r="L13" i="15"/>
  <c r="P13" i="15" s="1"/>
  <c r="N12" i="15"/>
  <c r="M12" i="15"/>
  <c r="L12" i="15"/>
  <c r="P12" i="15" s="1"/>
  <c r="N11" i="15"/>
  <c r="M11" i="15"/>
  <c r="P11" i="15" s="1"/>
  <c r="L11" i="15"/>
  <c r="N10" i="15"/>
  <c r="M10" i="15"/>
  <c r="P10" i="15" s="1"/>
  <c r="L10" i="15"/>
  <c r="N9" i="15"/>
  <c r="M9" i="15"/>
  <c r="L9" i="15"/>
  <c r="P9" i="15" s="1"/>
  <c r="N8" i="15"/>
  <c r="M8" i="15"/>
  <c r="L8" i="15"/>
  <c r="P8" i="15" s="1"/>
  <c r="T177" i="17" s="1"/>
  <c r="N7" i="15"/>
  <c r="M7" i="15"/>
  <c r="L7" i="15"/>
  <c r="P7" i="15" s="1"/>
  <c r="N6" i="15"/>
  <c r="M6" i="15"/>
  <c r="L6" i="15"/>
  <c r="P6" i="15" s="1"/>
  <c r="T176" i="17" s="1"/>
  <c r="N5" i="15"/>
  <c r="M5" i="15"/>
  <c r="L5" i="15"/>
  <c r="P5" i="15" s="1"/>
  <c r="N4" i="15"/>
  <c r="M4" i="15"/>
  <c r="L4" i="15"/>
  <c r="P4" i="15" s="1"/>
  <c r="N3" i="15"/>
  <c r="M3" i="15"/>
  <c r="L3" i="15"/>
  <c r="P3" i="15" s="1"/>
  <c r="N2" i="15"/>
  <c r="M2" i="15"/>
  <c r="P2" i="15" s="1"/>
  <c r="L2" i="15"/>
  <c r="N136" i="16"/>
  <c r="M136" i="16"/>
  <c r="N135" i="16"/>
  <c r="M135" i="16"/>
  <c r="L135" i="16"/>
  <c r="N134" i="16"/>
  <c r="M134" i="16"/>
  <c r="L134" i="16"/>
  <c r="N133" i="16"/>
  <c r="M133" i="16"/>
  <c r="L133" i="16"/>
  <c r="N132" i="16"/>
  <c r="M132" i="16"/>
  <c r="L132" i="16"/>
  <c r="N131" i="16"/>
  <c r="M131" i="16"/>
  <c r="L131" i="16"/>
  <c r="N130" i="16"/>
  <c r="M130" i="16"/>
  <c r="L130" i="16"/>
  <c r="N129" i="16"/>
  <c r="M129" i="16"/>
  <c r="L129" i="16"/>
  <c r="N128" i="16"/>
  <c r="M128" i="16"/>
  <c r="L128" i="16"/>
  <c r="N127" i="16"/>
  <c r="M127" i="16"/>
  <c r="L127" i="16"/>
  <c r="N126" i="16"/>
  <c r="M126" i="16"/>
  <c r="L126" i="16"/>
  <c r="N125" i="16"/>
  <c r="M125" i="16"/>
  <c r="L125" i="16"/>
  <c r="N124" i="16"/>
  <c r="M124" i="16"/>
  <c r="L124" i="16"/>
  <c r="N123" i="16"/>
  <c r="M123" i="16"/>
  <c r="L123" i="16"/>
  <c r="N122" i="16"/>
  <c r="M122" i="16"/>
  <c r="L122" i="16"/>
  <c r="N121" i="16"/>
  <c r="M121" i="16"/>
  <c r="L121" i="16"/>
  <c r="N120" i="16"/>
  <c r="M120" i="16"/>
  <c r="L120" i="16"/>
  <c r="N119" i="16"/>
  <c r="M119" i="16"/>
  <c r="N118" i="16"/>
  <c r="M118" i="16"/>
  <c r="L118" i="16"/>
  <c r="N117" i="16"/>
  <c r="M117" i="16"/>
  <c r="L117" i="16"/>
  <c r="N116" i="16"/>
  <c r="M116" i="16"/>
  <c r="L116" i="16"/>
  <c r="N115" i="16"/>
  <c r="M115" i="16"/>
  <c r="L115" i="16"/>
  <c r="N114" i="16"/>
  <c r="M114" i="16"/>
  <c r="L114" i="16"/>
  <c r="N113" i="16"/>
  <c r="M113" i="16"/>
  <c r="L113" i="16"/>
  <c r="N112" i="16"/>
  <c r="M112" i="16"/>
  <c r="L112" i="16"/>
  <c r="N111" i="16"/>
  <c r="M111" i="16"/>
  <c r="L111" i="16"/>
  <c r="N110" i="16"/>
  <c r="M110" i="16"/>
  <c r="L110" i="16"/>
  <c r="N109" i="16"/>
  <c r="M109" i="16"/>
  <c r="L109" i="16"/>
  <c r="N108" i="16"/>
  <c r="M108" i="16"/>
  <c r="L108" i="16"/>
  <c r="N107" i="16"/>
  <c r="M107" i="16"/>
  <c r="L107" i="16"/>
  <c r="N106" i="16"/>
  <c r="M106" i="16"/>
  <c r="L106" i="16"/>
  <c r="N105" i="16"/>
  <c r="M105" i="16"/>
  <c r="L105" i="16"/>
  <c r="N104" i="16"/>
  <c r="M104" i="16"/>
  <c r="L104" i="16"/>
  <c r="N103" i="16"/>
  <c r="M103" i="16"/>
  <c r="L103" i="16"/>
  <c r="N102" i="16"/>
  <c r="M102" i="16"/>
  <c r="L102" i="16"/>
  <c r="N101" i="16"/>
  <c r="M101" i="16"/>
  <c r="L101" i="16"/>
  <c r="N100" i="16"/>
  <c r="M100" i="16"/>
  <c r="N99" i="16"/>
  <c r="M99" i="16"/>
  <c r="L99" i="16"/>
  <c r="N98" i="16"/>
  <c r="M98" i="16"/>
  <c r="L98" i="16"/>
  <c r="N97" i="16"/>
  <c r="M97" i="16"/>
  <c r="L97" i="16"/>
  <c r="N96" i="16"/>
  <c r="M96" i="16"/>
  <c r="L96" i="16"/>
  <c r="N95" i="16"/>
  <c r="M95" i="16"/>
  <c r="L95" i="16"/>
  <c r="N94" i="16"/>
  <c r="M94" i="16"/>
  <c r="L94" i="16"/>
  <c r="N93" i="16"/>
  <c r="M93" i="16"/>
  <c r="L93" i="16"/>
  <c r="N92" i="16"/>
  <c r="M92" i="16"/>
  <c r="L92" i="16"/>
  <c r="N91" i="16"/>
  <c r="M91" i="16"/>
  <c r="L91" i="16"/>
  <c r="N90" i="16"/>
  <c r="M90" i="16"/>
  <c r="L90" i="16"/>
  <c r="N89" i="16"/>
  <c r="M89" i="16"/>
  <c r="L89" i="16"/>
  <c r="N88" i="16"/>
  <c r="M88" i="16"/>
  <c r="L88" i="16"/>
  <c r="N87" i="16"/>
  <c r="M87" i="16"/>
  <c r="L87" i="16"/>
  <c r="N86" i="16"/>
  <c r="M86" i="16"/>
  <c r="L86" i="16"/>
  <c r="N85" i="16"/>
  <c r="M85" i="16"/>
  <c r="L85" i="16"/>
  <c r="N84" i="16"/>
  <c r="M84" i="16"/>
  <c r="L84" i="16"/>
  <c r="N83" i="16"/>
  <c r="M83" i="16"/>
  <c r="L83" i="16"/>
  <c r="N82" i="16"/>
  <c r="M82" i="16"/>
  <c r="L82" i="16"/>
  <c r="N81" i="16"/>
  <c r="M81" i="16"/>
  <c r="L81" i="16"/>
  <c r="N80" i="16"/>
  <c r="M80" i="16"/>
  <c r="L80" i="16"/>
  <c r="N79" i="16"/>
  <c r="M79" i="16"/>
  <c r="L79" i="16"/>
  <c r="N78" i="16"/>
  <c r="M78" i="16"/>
  <c r="L78" i="16"/>
  <c r="N77" i="16"/>
  <c r="M77" i="16"/>
  <c r="L77" i="16"/>
  <c r="N76" i="16"/>
  <c r="M76" i="16"/>
  <c r="L76" i="16"/>
  <c r="N75" i="16"/>
  <c r="M75" i="16"/>
  <c r="L75" i="16"/>
  <c r="N74" i="16"/>
  <c r="M74" i="16"/>
  <c r="L74" i="16"/>
  <c r="N73" i="16"/>
  <c r="M73" i="16"/>
  <c r="L73" i="16"/>
  <c r="N72" i="16"/>
  <c r="M72" i="16"/>
  <c r="L72" i="16"/>
  <c r="N71" i="16"/>
  <c r="M71" i="16"/>
  <c r="L71" i="16"/>
  <c r="N70" i="16"/>
  <c r="M70" i="16"/>
  <c r="L70" i="16"/>
  <c r="N69" i="16"/>
  <c r="M69" i="16"/>
  <c r="L69" i="16"/>
  <c r="N68" i="16"/>
  <c r="M68" i="16"/>
  <c r="L68" i="16"/>
  <c r="N67" i="16"/>
  <c r="M67" i="16"/>
  <c r="L67" i="16"/>
  <c r="N66" i="16"/>
  <c r="M66" i="16"/>
  <c r="L66" i="16"/>
  <c r="N65" i="16"/>
  <c r="M65" i="16"/>
  <c r="L65" i="16"/>
  <c r="N64" i="16"/>
  <c r="M64" i="16"/>
  <c r="L64" i="16"/>
  <c r="N63" i="16"/>
  <c r="M63" i="16"/>
  <c r="L63" i="16"/>
  <c r="N62" i="16"/>
  <c r="M62" i="16"/>
  <c r="L62" i="16"/>
  <c r="N61" i="16"/>
  <c r="M61" i="16"/>
  <c r="L61" i="16"/>
  <c r="N60" i="16"/>
  <c r="M60" i="16"/>
  <c r="L60" i="16"/>
  <c r="N59" i="16"/>
  <c r="M59" i="16"/>
  <c r="L59" i="16"/>
  <c r="N58" i="16"/>
  <c r="M58" i="16"/>
  <c r="L58" i="16"/>
  <c r="N57" i="16"/>
  <c r="M57" i="16"/>
  <c r="L57" i="16"/>
  <c r="N56" i="16"/>
  <c r="M56" i="16"/>
  <c r="L56" i="16"/>
  <c r="N55" i="16"/>
  <c r="M55" i="16"/>
  <c r="L55" i="16"/>
  <c r="N54" i="16"/>
  <c r="M54" i="16"/>
  <c r="L54" i="16"/>
  <c r="N53" i="16"/>
  <c r="M53" i="16"/>
  <c r="L53" i="16"/>
  <c r="N52" i="16"/>
  <c r="M52" i="16"/>
  <c r="L52" i="16"/>
  <c r="N51" i="16"/>
  <c r="M51" i="16"/>
  <c r="L51" i="16"/>
  <c r="N50" i="16"/>
  <c r="M50" i="16"/>
  <c r="L50" i="16"/>
  <c r="N49" i="16"/>
  <c r="M49" i="16"/>
  <c r="L49" i="16"/>
  <c r="N48" i="16"/>
  <c r="M48" i="16"/>
  <c r="L48" i="16"/>
  <c r="N47" i="16"/>
  <c r="M47" i="16"/>
  <c r="L47" i="16"/>
  <c r="N46" i="16"/>
  <c r="M46" i="16"/>
  <c r="L46" i="16"/>
  <c r="N45" i="16"/>
  <c r="M45" i="16"/>
  <c r="L45" i="16"/>
  <c r="N44" i="16"/>
  <c r="M44" i="16"/>
  <c r="L44" i="16"/>
  <c r="N43" i="16"/>
  <c r="M43" i="16"/>
  <c r="L43" i="16"/>
  <c r="N42" i="16"/>
  <c r="M42" i="16"/>
  <c r="L42" i="16"/>
  <c r="N41" i="16"/>
  <c r="M41" i="16"/>
  <c r="L41" i="16"/>
  <c r="N40" i="16"/>
  <c r="M40" i="16"/>
  <c r="L40" i="16"/>
  <c r="N39" i="16"/>
  <c r="M39" i="16"/>
  <c r="L39" i="16"/>
  <c r="N38" i="16"/>
  <c r="M38" i="16"/>
  <c r="L38" i="16"/>
  <c r="N37" i="16"/>
  <c r="M37" i="16"/>
  <c r="L37" i="16"/>
  <c r="N36" i="16"/>
  <c r="M36" i="16"/>
  <c r="L36" i="16"/>
  <c r="N35" i="16"/>
  <c r="M35" i="16"/>
  <c r="L35" i="16"/>
  <c r="N34" i="16"/>
  <c r="M34" i="16"/>
  <c r="L34" i="16"/>
  <c r="N33" i="16"/>
  <c r="M33" i="16"/>
  <c r="L33" i="16"/>
  <c r="N32" i="16"/>
  <c r="M32" i="16"/>
  <c r="L32" i="16"/>
  <c r="N31" i="16"/>
  <c r="M31" i="16"/>
  <c r="L31" i="16"/>
  <c r="N30" i="16"/>
  <c r="M30" i="16"/>
  <c r="L30" i="16"/>
  <c r="N29" i="16"/>
  <c r="M29" i="16"/>
  <c r="L29" i="16"/>
  <c r="N28" i="16"/>
  <c r="M28" i="16"/>
  <c r="L28" i="16"/>
  <c r="N27" i="16"/>
  <c r="M27" i="16"/>
  <c r="L27" i="16"/>
  <c r="N26" i="16"/>
  <c r="M26" i="16"/>
  <c r="L26" i="16"/>
  <c r="N25" i="16"/>
  <c r="M25" i="16"/>
  <c r="L25" i="16"/>
  <c r="N24" i="16"/>
  <c r="M24" i="16"/>
  <c r="L24" i="16"/>
  <c r="N23" i="16"/>
  <c r="M23" i="16"/>
  <c r="L23" i="16"/>
  <c r="N22" i="16"/>
  <c r="M22" i="16"/>
  <c r="L22" i="16"/>
  <c r="N21" i="16"/>
  <c r="M21" i="16"/>
  <c r="L21" i="16"/>
  <c r="N20" i="16"/>
  <c r="M20" i="16"/>
  <c r="L20" i="16"/>
  <c r="N19" i="16"/>
  <c r="M19" i="16"/>
  <c r="L19" i="16"/>
  <c r="N18" i="16"/>
  <c r="M18" i="16"/>
  <c r="L18" i="16"/>
  <c r="N17" i="16"/>
  <c r="M17" i="16"/>
  <c r="L17" i="16"/>
  <c r="N16" i="16"/>
  <c r="M16" i="16"/>
  <c r="L16" i="16"/>
  <c r="N15" i="16"/>
  <c r="M15" i="16"/>
  <c r="N14" i="16"/>
  <c r="M14" i="16"/>
  <c r="L14" i="16"/>
  <c r="N12" i="16"/>
  <c r="M12" i="16"/>
  <c r="L12" i="16"/>
  <c r="N11" i="16"/>
  <c r="M11" i="16"/>
  <c r="L11" i="16"/>
  <c r="N10" i="16"/>
  <c r="M10" i="16"/>
  <c r="L10" i="16"/>
  <c r="N9" i="16"/>
  <c r="M9" i="16"/>
  <c r="L9" i="16"/>
  <c r="N8" i="16"/>
  <c r="M8" i="16"/>
  <c r="L8" i="16"/>
  <c r="N7" i="16"/>
  <c r="M7" i="16"/>
  <c r="L7" i="16"/>
  <c r="N6" i="16"/>
  <c r="M6" i="16"/>
  <c r="L6" i="16"/>
  <c r="N4" i="16"/>
  <c r="M4" i="16"/>
  <c r="L4" i="16"/>
  <c r="N3" i="16"/>
  <c r="M3" i="16"/>
  <c r="L3" i="16"/>
  <c r="N2" i="16"/>
  <c r="M2" i="16"/>
  <c r="L2" i="16"/>
  <c r="P16" i="15" l="1"/>
  <c r="P20" i="15"/>
  <c r="P24" i="15"/>
  <c r="P28" i="15"/>
  <c r="T182" i="17" s="1"/>
  <c r="P32" i="15"/>
  <c r="T183" i="17" s="1"/>
  <c r="P14" i="15"/>
  <c r="P15" i="15"/>
  <c r="P19" i="15"/>
  <c r="P23" i="15"/>
  <c r="T180" i="17" s="1"/>
  <c r="P27" i="15"/>
  <c r="P31" i="15"/>
  <c r="P35" i="15"/>
  <c r="M3" i="12"/>
  <c r="O5" i="1" s="1"/>
  <c r="M7" i="12"/>
  <c r="Q176" i="17" s="1"/>
  <c r="M11" i="12"/>
  <c r="O17" i="1" s="1"/>
  <c r="M15" i="12"/>
  <c r="O21" i="1" s="1"/>
  <c r="M19" i="12"/>
  <c r="M76" i="10"/>
  <c r="M80" i="10"/>
  <c r="M84" i="10"/>
  <c r="M88" i="10"/>
  <c r="N129" i="1" s="1"/>
  <c r="M92" i="10"/>
  <c r="N132" i="1" s="1"/>
  <c r="M96" i="10"/>
  <c r="N134" i="1" s="1"/>
  <c r="M100" i="10"/>
  <c r="N135" i="1" s="1"/>
  <c r="M104" i="10"/>
  <c r="P199" i="17" s="1"/>
  <c r="M4" i="9"/>
  <c r="M8" i="9"/>
  <c r="M12" i="9"/>
  <c r="M16" i="9"/>
  <c r="M20" i="9"/>
  <c r="M24" i="9"/>
  <c r="M28" i="9"/>
  <c r="M32" i="9"/>
  <c r="M36" i="9"/>
  <c r="M40" i="9"/>
  <c r="M44" i="9"/>
  <c r="M48" i="9"/>
  <c r="M52" i="9"/>
  <c r="M56" i="9"/>
  <c r="M60" i="9"/>
  <c r="M64" i="9"/>
  <c r="M68" i="9"/>
  <c r="M72" i="9"/>
  <c r="M76" i="9"/>
  <c r="M80" i="9"/>
  <c r="M84" i="9"/>
  <c r="M88" i="9"/>
  <c r="M92" i="9"/>
  <c r="M96" i="9"/>
  <c r="L11" i="7"/>
  <c r="L60" i="7"/>
  <c r="L83" i="7"/>
  <c r="J14" i="3"/>
  <c r="J21" i="3"/>
  <c r="J16" i="2"/>
  <c r="M59" i="10"/>
  <c r="N33" i="1" s="1"/>
  <c r="M63" i="10"/>
  <c r="M67" i="10"/>
  <c r="N38" i="1" s="1"/>
  <c r="M71" i="10"/>
  <c r="M75" i="10"/>
  <c r="N107" i="1" s="1"/>
  <c r="M79" i="10"/>
  <c r="N115" i="1" s="1"/>
  <c r="M83" i="10"/>
  <c r="N126" i="1" s="1"/>
  <c r="M87" i="10"/>
  <c r="M91" i="10"/>
  <c r="N131" i="1" s="1"/>
  <c r="M95" i="10"/>
  <c r="M99" i="10"/>
  <c r="N15" i="1" s="1"/>
  <c r="M103" i="10"/>
  <c r="M111" i="10"/>
  <c r="M7" i="9"/>
  <c r="M11" i="9"/>
  <c r="M15" i="9"/>
  <c r="M19" i="9"/>
  <c r="M23" i="9"/>
  <c r="M27" i="9"/>
  <c r="M31" i="9"/>
  <c r="M35" i="9"/>
  <c r="M39" i="9"/>
  <c r="M43" i="9"/>
  <c r="M47" i="9"/>
  <c r="M51" i="9"/>
  <c r="M55" i="9"/>
  <c r="M59" i="9"/>
  <c r="M63" i="9"/>
  <c r="M67" i="9"/>
  <c r="M71" i="9"/>
  <c r="M75" i="9"/>
  <c r="M79" i="9"/>
  <c r="M83" i="9"/>
  <c r="M87" i="9"/>
  <c r="M91" i="9"/>
  <c r="M95" i="9"/>
  <c r="M99" i="9"/>
  <c r="M2" i="8"/>
  <c r="M14" i="8"/>
  <c r="L16" i="1" s="1"/>
  <c r="M26" i="8"/>
  <c r="M30" i="8"/>
  <c r="M46" i="8"/>
  <c r="M65" i="8"/>
  <c r="L6" i="7"/>
  <c r="L15" i="7"/>
  <c r="K18" i="1" s="1"/>
  <c r="L22" i="7"/>
  <c r="L55" i="7"/>
  <c r="I45" i="4"/>
  <c r="J18" i="3"/>
  <c r="J25" i="3"/>
  <c r="J34" i="3"/>
  <c r="J41" i="3"/>
  <c r="J67" i="3"/>
  <c r="M98" i="9"/>
  <c r="M72" i="8"/>
  <c r="L12" i="7"/>
  <c r="L44" i="7"/>
  <c r="L77" i="7"/>
  <c r="J22" i="3"/>
  <c r="M33" i="9"/>
  <c r="M73" i="9"/>
  <c r="W19" i="1"/>
  <c r="X19" i="1" s="1"/>
  <c r="Y19" i="1" s="1"/>
  <c r="P36" i="15"/>
  <c r="M61" i="10"/>
  <c r="M65" i="10"/>
  <c r="N36" i="1" s="1"/>
  <c r="M69" i="10"/>
  <c r="N39" i="1" s="1"/>
  <c r="M73" i="10"/>
  <c r="N105" i="1" s="1"/>
  <c r="M60" i="10"/>
  <c r="P185" i="17" s="1"/>
  <c r="M64" i="10"/>
  <c r="N35" i="1" s="1"/>
  <c r="M68" i="10"/>
  <c r="P186" i="17" s="1"/>
  <c r="M72" i="10"/>
  <c r="M8" i="8"/>
  <c r="M12" i="8"/>
  <c r="M16" i="8"/>
  <c r="L18" i="1" s="1"/>
  <c r="M20" i="8"/>
  <c r="L23" i="1" s="1"/>
  <c r="M24" i="8"/>
  <c r="M28" i="8"/>
  <c r="M32" i="8"/>
  <c r="M36" i="8"/>
  <c r="M40" i="8"/>
  <c r="N181" i="17" s="1"/>
  <c r="M44" i="8"/>
  <c r="M48" i="8"/>
  <c r="N182" i="17" s="1"/>
  <c r="M52" i="8"/>
  <c r="M59" i="8"/>
  <c r="M63" i="8"/>
  <c r="M67" i="8"/>
  <c r="M71" i="8"/>
  <c r="M75" i="8"/>
  <c r="M79" i="8"/>
  <c r="M83" i="8"/>
  <c r="M87" i="8"/>
  <c r="L16" i="7"/>
  <c r="K21" i="1" s="1"/>
  <c r="L32" i="7"/>
  <c r="L48" i="7"/>
  <c r="L65" i="7"/>
  <c r="L81" i="7"/>
  <c r="I2" i="6"/>
  <c r="I15" i="4"/>
  <c r="M7" i="8"/>
  <c r="M11" i="8"/>
  <c r="L14" i="1" s="1"/>
  <c r="M15" i="8"/>
  <c r="L17" i="1" s="1"/>
  <c r="M19" i="8"/>
  <c r="M23" i="8"/>
  <c r="M27" i="8"/>
  <c r="L27" i="1" s="1"/>
  <c r="M31" i="8"/>
  <c r="N180" i="17" s="1"/>
  <c r="M35" i="8"/>
  <c r="M39" i="8"/>
  <c r="M43" i="8"/>
  <c r="M47" i="8"/>
  <c r="L29" i="1" s="1"/>
  <c r="M51" i="8"/>
  <c r="L31" i="1" s="1"/>
  <c r="M58" i="8"/>
  <c r="M62" i="8"/>
  <c r="M66" i="8"/>
  <c r="M70" i="8"/>
  <c r="M74" i="8"/>
  <c r="M78" i="8"/>
  <c r="M82" i="8"/>
  <c r="M86" i="8"/>
  <c r="L4" i="7"/>
  <c r="K4" i="1" s="1"/>
  <c r="L20" i="7"/>
  <c r="L36" i="7"/>
  <c r="L53" i="7"/>
  <c r="L69" i="7"/>
  <c r="K30" i="1" s="1"/>
  <c r="L85" i="7"/>
  <c r="I54" i="6"/>
  <c r="J7" i="3"/>
  <c r="J23" i="3"/>
  <c r="J39" i="3"/>
  <c r="J65" i="3"/>
  <c r="M6" i="8"/>
  <c r="L5" i="1" s="1"/>
  <c r="M10" i="8"/>
  <c r="N176" i="17" s="1"/>
  <c r="X176" i="17" s="1"/>
  <c r="Y176" i="17" s="1"/>
  <c r="Z176" i="17" s="1"/>
  <c r="L8" i="7"/>
  <c r="L24" i="7"/>
  <c r="L40" i="7"/>
  <c r="M182" i="17" s="1"/>
  <c r="L57" i="7"/>
  <c r="L73" i="7"/>
  <c r="I12" i="6"/>
  <c r="J16" i="1" s="1"/>
  <c r="J11" i="3"/>
  <c r="J27" i="3"/>
  <c r="J43" i="3"/>
  <c r="P12" i="16"/>
  <c r="X18" i="1" s="1"/>
  <c r="Y18" i="1" s="1"/>
  <c r="P57" i="16"/>
  <c r="W49" i="1" s="1"/>
  <c r="X49" i="1" s="1"/>
  <c r="Y49" i="1" s="1"/>
  <c r="P61" i="16"/>
  <c r="U190" i="17" s="1"/>
  <c r="X190" i="17" s="1"/>
  <c r="Y190" i="17" s="1"/>
  <c r="Z190" i="17" s="1"/>
  <c r="P65" i="16"/>
  <c r="W53" i="1" s="1"/>
  <c r="X53" i="1" s="1"/>
  <c r="Y53" i="1" s="1"/>
  <c r="P69" i="16"/>
  <c r="W56" i="1" s="1"/>
  <c r="X56" i="1" s="1"/>
  <c r="Y56" i="1" s="1"/>
  <c r="P15" i="16"/>
  <c r="W21" i="1" s="1"/>
  <c r="X21" i="1" s="1"/>
  <c r="Y21" i="1" s="1"/>
  <c r="P36" i="16"/>
  <c r="W34" i="1" s="1"/>
  <c r="X34" i="1" s="1"/>
  <c r="Y34" i="1" s="1"/>
  <c r="P40" i="16"/>
  <c r="P44" i="16"/>
  <c r="W41" i="1" s="1"/>
  <c r="X41" i="1" s="1"/>
  <c r="Y41" i="1" s="1"/>
  <c r="P48" i="16"/>
  <c r="U200" i="17" s="1"/>
  <c r="X200" i="17" s="1"/>
  <c r="Y200" i="17" s="1"/>
  <c r="Z200" i="17" s="1"/>
  <c r="P52" i="16"/>
  <c r="U187" i="17" s="1"/>
  <c r="X187" i="17" s="1"/>
  <c r="Y187" i="17" s="1"/>
  <c r="Z187" i="17" s="1"/>
  <c r="P56" i="16"/>
  <c r="P60" i="16"/>
  <c r="U189" i="17" s="1"/>
  <c r="X189" i="17" s="1"/>
  <c r="Y189" i="17" s="1"/>
  <c r="Z189" i="17" s="1"/>
  <c r="P64" i="16"/>
  <c r="W52" i="1" s="1"/>
  <c r="X52" i="1" s="1"/>
  <c r="Y52" i="1" s="1"/>
  <c r="P68" i="16"/>
  <c r="U192" i="17" s="1"/>
  <c r="X192" i="17" s="1"/>
  <c r="Y192" i="17" s="1"/>
  <c r="Z192" i="17" s="1"/>
  <c r="P147" i="16"/>
  <c r="P3" i="16"/>
  <c r="P7" i="16"/>
  <c r="U177" i="17" s="1"/>
  <c r="X177" i="17" s="1"/>
  <c r="Y177" i="17" s="1"/>
  <c r="Z177" i="17" s="1"/>
  <c r="P11" i="16"/>
  <c r="W17" i="1" s="1"/>
  <c r="X17" i="1" s="1"/>
  <c r="Y17" i="1" s="1"/>
  <c r="P16" i="16"/>
  <c r="W22" i="1" s="1"/>
  <c r="X22" i="1" s="1"/>
  <c r="Y22" i="1" s="1"/>
  <c r="P20" i="16"/>
  <c r="X26" i="1" s="1"/>
  <c r="Y26" i="1" s="1"/>
  <c r="P24" i="16"/>
  <c r="W28" i="1" s="1"/>
  <c r="X28" i="1" s="1"/>
  <c r="Y28" i="1" s="1"/>
  <c r="P28" i="16"/>
  <c r="W30" i="1" s="1"/>
  <c r="X30" i="1" s="1"/>
  <c r="Y30" i="1" s="1"/>
  <c r="P32" i="16"/>
  <c r="U184" i="17" s="1"/>
  <c r="X184" i="17" s="1"/>
  <c r="Y184" i="17" s="1"/>
  <c r="Z184" i="17" s="1"/>
  <c r="P6" i="16"/>
  <c r="W20" i="1" s="1"/>
  <c r="X20" i="1" s="1"/>
  <c r="Y20" i="1" s="1"/>
  <c r="P19" i="16"/>
  <c r="W25" i="1" s="1"/>
  <c r="X25" i="1" s="1"/>
  <c r="Y25" i="1" s="1"/>
  <c r="P23" i="16"/>
  <c r="P27" i="16"/>
  <c r="U182" i="17" s="1"/>
  <c r="P31" i="16"/>
  <c r="U183" i="17" s="1"/>
  <c r="X183" i="17" s="1"/>
  <c r="Y183" i="17" s="1"/>
  <c r="Z183" i="17" s="1"/>
  <c r="P35" i="16"/>
  <c r="U185" i="17" s="1"/>
  <c r="P39" i="16"/>
  <c r="W37" i="1" s="1"/>
  <c r="X37" i="1" s="1"/>
  <c r="Y37" i="1" s="1"/>
  <c r="P43" i="16"/>
  <c r="W40" i="1" s="1"/>
  <c r="X40" i="1" s="1"/>
  <c r="Y40" i="1" s="1"/>
  <c r="P47" i="16"/>
  <c r="X43" i="1" s="1"/>
  <c r="Y43" i="1" s="1"/>
  <c r="P51" i="16"/>
  <c r="W45" i="1" s="1"/>
  <c r="X45" i="1" s="1"/>
  <c r="Y45" i="1" s="1"/>
  <c r="P59" i="16"/>
  <c r="U188" i="17" s="1"/>
  <c r="X188" i="17" s="1"/>
  <c r="Y188" i="17" s="1"/>
  <c r="Z188" i="17" s="1"/>
  <c r="P63" i="16"/>
  <c r="U191" i="17" s="1"/>
  <c r="X191" i="17" s="1"/>
  <c r="Y191" i="17" s="1"/>
  <c r="Z191" i="17" s="1"/>
  <c r="P67" i="16"/>
  <c r="X55" i="1" s="1"/>
  <c r="Y55" i="1" s="1"/>
  <c r="P75" i="16"/>
  <c r="W62" i="1" s="1"/>
  <c r="X62" i="1" s="1"/>
  <c r="Y62" i="1" s="1"/>
  <c r="P79" i="16"/>
  <c r="W65" i="1" s="1"/>
  <c r="X65" i="1" s="1"/>
  <c r="Y65" i="1" s="1"/>
  <c r="P83" i="16"/>
  <c r="X68" i="1" s="1"/>
  <c r="Y68" i="1" s="1"/>
  <c r="P87" i="16"/>
  <c r="W106" i="1" s="1"/>
  <c r="X106" i="1" s="1"/>
  <c r="Y106" i="1" s="1"/>
  <c r="P91" i="16"/>
  <c r="W110" i="1" s="1"/>
  <c r="X110" i="1" s="1"/>
  <c r="Y110" i="1" s="1"/>
  <c r="P95" i="16"/>
  <c r="W115" i="1" s="1"/>
  <c r="X115" i="1" s="1"/>
  <c r="Y115" i="1" s="1"/>
  <c r="P99" i="16"/>
  <c r="P103" i="16"/>
  <c r="W120" i="1" s="1"/>
  <c r="X120" i="1" s="1"/>
  <c r="Y120" i="1" s="1"/>
  <c r="P107" i="16"/>
  <c r="W129" i="1" s="1"/>
  <c r="X129" i="1" s="1"/>
  <c r="Y129" i="1" s="1"/>
  <c r="P111" i="16"/>
  <c r="W133" i="1" s="1"/>
  <c r="X133" i="1" s="1"/>
  <c r="Y133" i="1" s="1"/>
  <c r="P115" i="16"/>
  <c r="W135" i="1" s="1"/>
  <c r="X135" i="1" s="1"/>
  <c r="Y135" i="1" s="1"/>
  <c r="P119" i="16"/>
  <c r="W137" i="1" s="1"/>
  <c r="X137" i="1" s="1"/>
  <c r="Y137" i="1" s="1"/>
  <c r="P123" i="16"/>
  <c r="P127" i="16"/>
  <c r="W121" i="1" s="1"/>
  <c r="X121" i="1" s="1"/>
  <c r="Y121" i="1" s="1"/>
  <c r="P131" i="16"/>
  <c r="W74" i="1" s="1"/>
  <c r="X74" i="1" s="1"/>
  <c r="Y74" i="1" s="1"/>
  <c r="P135" i="16"/>
  <c r="W122" i="1" s="1"/>
  <c r="X122" i="1" s="1"/>
  <c r="Y122" i="1" s="1"/>
  <c r="P138" i="16"/>
  <c r="P146" i="16"/>
  <c r="P58" i="16"/>
  <c r="Y50" i="1" s="1"/>
  <c r="P62" i="16"/>
  <c r="W51" i="1" s="1"/>
  <c r="X51" i="1" s="1"/>
  <c r="Y51" i="1" s="1"/>
  <c r="P66" i="16"/>
  <c r="W54" i="1" s="1"/>
  <c r="P70" i="16"/>
  <c r="W57" i="1" s="1"/>
  <c r="X57" i="1" s="1"/>
  <c r="Y57" i="1" s="1"/>
  <c r="P74" i="16"/>
  <c r="W61" i="1" s="1"/>
  <c r="X61" i="1" s="1"/>
  <c r="Y61" i="1" s="1"/>
  <c r="P78" i="16"/>
  <c r="Y64" i="1" s="1"/>
  <c r="P82" i="16"/>
  <c r="W67" i="1" s="1"/>
  <c r="P90" i="16"/>
  <c r="W109" i="1" s="1"/>
  <c r="X109" i="1" s="1"/>
  <c r="Y109" i="1" s="1"/>
  <c r="P94" i="16"/>
  <c r="W114" i="1" s="1"/>
  <c r="X114" i="1" s="1"/>
  <c r="Y114" i="1" s="1"/>
  <c r="P98" i="16"/>
  <c r="W118" i="1" s="1"/>
  <c r="X118" i="1" s="1"/>
  <c r="Y118" i="1" s="1"/>
  <c r="P102" i="16"/>
  <c r="U196" i="17" s="1"/>
  <c r="X196" i="17" s="1"/>
  <c r="Y196" i="17" s="1"/>
  <c r="Z196" i="17" s="1"/>
  <c r="P106" i="16"/>
  <c r="W128" i="1" s="1"/>
  <c r="X128" i="1" s="1"/>
  <c r="Y128" i="1" s="1"/>
  <c r="P110" i="16"/>
  <c r="W132" i="1" s="1"/>
  <c r="X132" i="1" s="1"/>
  <c r="Y132" i="1" s="1"/>
  <c r="P114" i="16"/>
  <c r="W15" i="1" s="1"/>
  <c r="X15" i="1" s="1"/>
  <c r="Y15" i="1" s="1"/>
  <c r="P118" i="16"/>
  <c r="W136" i="1" s="1"/>
  <c r="X136" i="1" s="1"/>
  <c r="Y136" i="1" s="1"/>
  <c r="P122" i="16"/>
  <c r="W139" i="1" s="1"/>
  <c r="X139" i="1" s="1"/>
  <c r="Y139" i="1" s="1"/>
  <c r="P126" i="16"/>
  <c r="P130" i="16"/>
  <c r="P134" i="16"/>
  <c r="X9" i="1" s="1"/>
  <c r="Y9" i="1" s="1"/>
  <c r="P86" i="16"/>
  <c r="W105" i="1" s="1"/>
  <c r="X105" i="1" s="1"/>
  <c r="Y105" i="1" s="1"/>
  <c r="P2" i="16"/>
  <c r="X4" i="1" s="1"/>
  <c r="Y4" i="1" s="1"/>
  <c r="P10" i="16"/>
  <c r="W16" i="1" s="1"/>
  <c r="X16" i="1" s="1"/>
  <c r="Y16" i="1" s="1"/>
  <c r="P73" i="16"/>
  <c r="W60" i="1" s="1"/>
  <c r="X60" i="1" s="1"/>
  <c r="Y60" i="1" s="1"/>
  <c r="P77" i="16"/>
  <c r="U193" i="17" s="1"/>
  <c r="X193" i="17" s="1"/>
  <c r="Y193" i="17" s="1"/>
  <c r="Z193" i="17" s="1"/>
  <c r="P81" i="16"/>
  <c r="W66" i="1" s="1"/>
  <c r="X66" i="1" s="1"/>
  <c r="Y66" i="1" s="1"/>
  <c r="P85" i="16"/>
  <c r="W69" i="1" s="1"/>
  <c r="X69" i="1" s="1"/>
  <c r="Y69" i="1" s="1"/>
  <c r="P89" i="16"/>
  <c r="X108" i="1" s="1"/>
  <c r="Y108" i="1" s="1"/>
  <c r="P93" i="16"/>
  <c r="P97" i="16"/>
  <c r="W117" i="1" s="1"/>
  <c r="X117" i="1" s="1"/>
  <c r="Y117" i="1" s="1"/>
  <c r="P101" i="16"/>
  <c r="U195" i="17" s="1"/>
  <c r="X195" i="17" s="1"/>
  <c r="Y195" i="17" s="1"/>
  <c r="Z195" i="17" s="1"/>
  <c r="P105" i="16"/>
  <c r="U197" i="17" s="1"/>
  <c r="X197" i="17" s="1"/>
  <c r="Y197" i="17" s="1"/>
  <c r="Z197" i="17" s="1"/>
  <c r="P109" i="16"/>
  <c r="W131" i="1" s="1"/>
  <c r="X131" i="1" s="1"/>
  <c r="Y131" i="1" s="1"/>
  <c r="P113" i="16"/>
  <c r="P117" i="16"/>
  <c r="U199" i="17" s="1"/>
  <c r="P121" i="16"/>
  <c r="W138" i="1" s="1"/>
  <c r="X138" i="1" s="1"/>
  <c r="Y138" i="1" s="1"/>
  <c r="P125" i="16"/>
  <c r="X7" i="1" s="1"/>
  <c r="P129" i="16"/>
  <c r="W8" i="1" s="1"/>
  <c r="X8" i="1" s="1"/>
  <c r="Y8" i="1" s="1"/>
  <c r="P133" i="16"/>
  <c r="W72" i="1" s="1"/>
  <c r="P137" i="16"/>
  <c r="W75" i="1" s="1"/>
  <c r="X75" i="1" s="1"/>
  <c r="Y75" i="1" s="1"/>
  <c r="P72" i="16"/>
  <c r="W59" i="1" s="1"/>
  <c r="X59" i="1" s="1"/>
  <c r="Y59" i="1" s="1"/>
  <c r="P76" i="16"/>
  <c r="W63" i="1" s="1"/>
  <c r="X63" i="1" s="1"/>
  <c r="Y63" i="1" s="1"/>
  <c r="P80" i="16"/>
  <c r="U194" i="17" s="1"/>
  <c r="X194" i="17" s="1"/>
  <c r="Y194" i="17" s="1"/>
  <c r="Z194" i="17" s="1"/>
  <c r="P84" i="16"/>
  <c r="P88" i="16"/>
  <c r="W107" i="1" s="1"/>
  <c r="X107" i="1" s="1"/>
  <c r="Y107" i="1" s="1"/>
  <c r="P92" i="16"/>
  <c r="W111" i="1" s="1"/>
  <c r="X111" i="1" s="1"/>
  <c r="Y111" i="1" s="1"/>
  <c r="P96" i="16"/>
  <c r="W116" i="1" s="1"/>
  <c r="X116" i="1" s="1"/>
  <c r="Y116" i="1" s="1"/>
  <c r="P100" i="16"/>
  <c r="W119" i="1" s="1"/>
  <c r="X119" i="1" s="1"/>
  <c r="Y119" i="1" s="1"/>
  <c r="P104" i="16"/>
  <c r="X126" i="1" s="1"/>
  <c r="Y126" i="1" s="1"/>
  <c r="P108" i="16"/>
  <c r="W130" i="1" s="1"/>
  <c r="X130" i="1" s="1"/>
  <c r="Y130" i="1" s="1"/>
  <c r="P112" i="16"/>
  <c r="X134" i="1" s="1"/>
  <c r="Y134" i="1" s="1"/>
  <c r="P116" i="16"/>
  <c r="U198" i="17" s="1"/>
  <c r="X198" i="17" s="1"/>
  <c r="Y198" i="17" s="1"/>
  <c r="Z198" i="17" s="1"/>
  <c r="P120" i="16"/>
  <c r="U179" i="17" s="1"/>
  <c r="X179" i="17" s="1"/>
  <c r="Y179" i="17" s="1"/>
  <c r="Z179" i="17" s="1"/>
  <c r="P124" i="16"/>
  <c r="W127" i="1" s="1"/>
  <c r="X127" i="1" s="1"/>
  <c r="Y127" i="1" s="1"/>
  <c r="P128" i="16"/>
  <c r="W71" i="1" s="1"/>
  <c r="X71" i="1" s="1"/>
  <c r="Y71" i="1" s="1"/>
  <c r="P132" i="16"/>
  <c r="W73" i="1" s="1"/>
  <c r="X73" i="1" s="1"/>
  <c r="Y73" i="1" s="1"/>
  <c r="P136" i="16"/>
  <c r="W76" i="1" s="1"/>
  <c r="X76" i="1" s="1"/>
  <c r="Y76" i="1" s="1"/>
  <c r="P9" i="16"/>
  <c r="X14" i="1" s="1"/>
  <c r="Y14" i="1" s="1"/>
  <c r="P14" i="16"/>
  <c r="P18" i="16"/>
  <c r="X24" i="1" s="1"/>
  <c r="Y24" i="1" s="1"/>
  <c r="P22" i="16"/>
  <c r="U180" i="17" s="1"/>
  <c r="P26" i="16"/>
  <c r="P30" i="16"/>
  <c r="W31" i="1" s="1"/>
  <c r="X31" i="1" s="1"/>
  <c r="Y31" i="1" s="1"/>
  <c r="P34" i="16"/>
  <c r="P38" i="16"/>
  <c r="X36" i="1" s="1"/>
  <c r="Y36" i="1" s="1"/>
  <c r="P42" i="16"/>
  <c r="Y39" i="1" s="1"/>
  <c r="P46" i="16"/>
  <c r="W42" i="1" s="1"/>
  <c r="X42" i="1" s="1"/>
  <c r="Y42" i="1" s="1"/>
  <c r="P50" i="16"/>
  <c r="P54" i="16"/>
  <c r="W47" i="1" s="1"/>
  <c r="P4" i="16"/>
  <c r="X6" i="1" s="1"/>
  <c r="Y6" i="1" s="1"/>
  <c r="P8" i="16"/>
  <c r="P17" i="16"/>
  <c r="W23" i="1" s="1"/>
  <c r="X23" i="1" s="1"/>
  <c r="Y23" i="1" s="1"/>
  <c r="P21" i="16"/>
  <c r="X27" i="1" s="1"/>
  <c r="Y27" i="1" s="1"/>
  <c r="P25" i="16"/>
  <c r="U181" i="17" s="1"/>
  <c r="P29" i="16"/>
  <c r="P33" i="16"/>
  <c r="P37" i="16"/>
  <c r="W35" i="1" s="1"/>
  <c r="X35" i="1" s="1"/>
  <c r="Y35" i="1" s="1"/>
  <c r="P41" i="16"/>
  <c r="U186" i="17" s="1"/>
  <c r="P45" i="16"/>
  <c r="U178" i="17" s="1"/>
  <c r="X178" i="17" s="1"/>
  <c r="Y178" i="17" s="1"/>
  <c r="Z178" i="17" s="1"/>
  <c r="P49" i="16"/>
  <c r="Y44" i="1" s="1"/>
  <c r="P53" i="16"/>
  <c r="W46" i="1" s="1"/>
  <c r="X46" i="1" s="1"/>
  <c r="Y46" i="1" s="1"/>
  <c r="P71" i="16"/>
  <c r="P143" i="16"/>
  <c r="P55" i="16"/>
  <c r="Y48" i="1" s="1"/>
  <c r="P142" i="16"/>
  <c r="P145" i="16"/>
  <c r="P140" i="16"/>
  <c r="P144" i="16"/>
  <c r="P141" i="16"/>
  <c r="X78" i="1" s="1"/>
  <c r="Y78" i="1" s="1"/>
  <c r="P139" i="16"/>
  <c r="W77" i="1" s="1"/>
  <c r="X54" i="1" l="1"/>
  <c r="Y54" i="1" s="1"/>
  <c r="X77" i="1"/>
  <c r="Y77" i="1" s="1"/>
  <c r="X47" i="1"/>
  <c r="Y47" i="1" s="1"/>
  <c r="X72" i="1"/>
  <c r="Y72" i="1" s="1"/>
  <c r="X58" i="1"/>
  <c r="Y58" i="1" s="1"/>
  <c r="X182" i="17"/>
  <c r="Y182" i="17" s="1"/>
  <c r="Z182" i="17" s="1"/>
  <c r="X186" i="17"/>
  <c r="Y186" i="17" s="1"/>
  <c r="Z186" i="17" s="1"/>
  <c r="X199" i="17"/>
  <c r="Y199" i="17" s="1"/>
  <c r="Z199" i="17" s="1"/>
  <c r="X180" i="17"/>
  <c r="Y180" i="17" s="1"/>
  <c r="Z180" i="17" s="1"/>
  <c r="X181" i="17"/>
  <c r="Y181" i="17" s="1"/>
  <c r="Z181" i="17" s="1"/>
  <c r="X185" i="17"/>
  <c r="Y185" i="17" s="1"/>
  <c r="Z185" i="17" s="1"/>
  <c r="X67" i="1"/>
  <c r="Y67" i="1" s="1"/>
  <c r="Y70" i="1"/>
  <c r="X29" i="1"/>
  <c r="Y29" i="1" s="1"/>
  <c r="Y7" i="1"/>
  <c r="X5" i="1"/>
  <c r="Y5" i="1" s="1"/>
  <c r="W33" i="1"/>
  <c r="X33" i="1" s="1"/>
  <c r="Y33" i="1" s="1"/>
  <c r="W112" i="1"/>
  <c r="X112" i="1" s="1"/>
  <c r="Y112" i="1" s="1"/>
  <c r="W123" i="1"/>
  <c r="X123" i="1" s="1"/>
  <c r="Y123" i="1" s="1"/>
  <c r="W81" i="1"/>
  <c r="X81" i="1" s="1"/>
  <c r="Y81" i="1" s="1"/>
  <c r="W79" i="1"/>
  <c r="X79" i="1" s="1"/>
  <c r="Y79" i="1" s="1"/>
  <c r="W140" i="1" l="1"/>
  <c r="X140" i="1" s="1"/>
  <c r="Y140" i="1" s="1"/>
  <c r="W80" i="1"/>
  <c r="X80" i="1" s="1"/>
  <c r="Y80" i="1" s="1"/>
  <c r="W83" i="1"/>
  <c r="X83" i="1" s="1"/>
  <c r="Y8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40" authorId="0" shapeId="0" xr:uid="{1F8D239A-6DE5-441E-8C94-30821FCEE91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Extension of 2021</t>
        </r>
      </text>
    </comment>
    <comment ref="U70" authorId="0" shapeId="0" xr:uid="{B193F1B9-286E-49C5-BB26-CD3577C56CC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Previous year balance 21 days</t>
        </r>
      </text>
    </comment>
    <comment ref="V85" authorId="0" shapeId="0" xr:uid="{560099A8-3E1E-4EFF-A6A0-F4C530EF558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2025 Leave balance</t>
        </r>
      </text>
    </comment>
  </commentList>
</comments>
</file>

<file path=xl/sharedStrings.xml><?xml version="1.0" encoding="utf-8"?>
<sst xmlns="http://schemas.openxmlformats.org/spreadsheetml/2006/main" count="2994" uniqueCount="714">
  <si>
    <t xml:space="preserve">NITIN KAUSHIK </t>
  </si>
  <si>
    <t>KANTESH NIHALCHANDANI</t>
  </si>
  <si>
    <t>JOBIN ALIAS ELAMAN</t>
  </si>
  <si>
    <t>LHOSALYN REYES CORPUZ</t>
  </si>
  <si>
    <t>SHEBIN KADUKAPEEDIKA SHAMSUDEEN</t>
  </si>
  <si>
    <t>ABIRAL THAPA</t>
  </si>
  <si>
    <t>SANJAY MIRCHUMAL PUNJABI</t>
  </si>
  <si>
    <t>LAKHMICHAND PAMNANI</t>
  </si>
  <si>
    <t>MANISH KUMAR NARAYAN MANWANI</t>
  </si>
  <si>
    <t>KADER NAMTURUTHI</t>
  </si>
  <si>
    <t xml:space="preserve">MAHESH CHAINANI  </t>
  </si>
  <si>
    <t xml:space="preserve">JITESH CHAWLA </t>
  </si>
  <si>
    <t>VIJAY KUMAR ASHOK KUMAR</t>
  </si>
  <si>
    <t>NISHITH SURENDRANATHAN</t>
  </si>
  <si>
    <t>ROHIT CHUNILAL AWATANI</t>
  </si>
  <si>
    <t>UMESH KARIPPIDI</t>
  </si>
  <si>
    <t xml:space="preserve">THOUFEEK POTTAMMAL </t>
  </si>
  <si>
    <t>BASHEER IBRAHIM</t>
  </si>
  <si>
    <t>SOORAJ CHANDRAN</t>
  </si>
  <si>
    <t>ANEESH KANIYANTE VALAPPIL ANANDAN</t>
  </si>
  <si>
    <t>MOHAMMAD TABREZ SHEIK HUSSAIN</t>
  </si>
  <si>
    <t>PRAVEEN KUMAR PALERI PALODAN</t>
  </si>
  <si>
    <t>MUHAMMED NAZIM</t>
  </si>
  <si>
    <t>ZAKARIYA PORUVATTIL ISMAIL</t>
  </si>
  <si>
    <t>NOOH THACHANKANDY MOIOEEN KUTTY</t>
  </si>
  <si>
    <t>PRAVEEN KUMAR KASHAVENI</t>
  </si>
  <si>
    <t>TAPAN DEV</t>
  </si>
  <si>
    <t>SHAFIK DEVASAM PARAMBIL</t>
  </si>
  <si>
    <t>PRADEEP KUMAR PATTAKANDATHIL</t>
  </si>
  <si>
    <t>MEHMOOD AHMED KHAN</t>
  </si>
  <si>
    <t>ZAFAR IQBAL MOHAMMAD</t>
  </si>
  <si>
    <t>BASHARAT AHMED AHMADULLAH KHAN</t>
  </si>
  <si>
    <t>MUHAMMAD WAHDAT</t>
  </si>
  <si>
    <t>MUHAMMAD NASIR TAJ</t>
  </si>
  <si>
    <t>RAJESH KANAKKODI</t>
  </si>
  <si>
    <t>RAJMOHAN RAVUNNIKUTTY</t>
  </si>
  <si>
    <t>SATHIAJITH SHEKHARAN</t>
  </si>
  <si>
    <t>PRAMOD VATTAKKANDATHIL</t>
  </si>
  <si>
    <t>SHAHULAN KUTTAYI</t>
  </si>
  <si>
    <t>VISHNU PARINTHIRIKKATTIL KUMARAN</t>
  </si>
  <si>
    <t>SURESH NARESH KHODICHERLA</t>
  </si>
  <si>
    <t>THIRUPATHI PONNAM ANJAIAH PONNAM</t>
  </si>
  <si>
    <t>ARUN KANNOTHIL</t>
  </si>
  <si>
    <t>SUNIL GOPALAN KOLOTHODY</t>
  </si>
  <si>
    <t>SAJJAD HUSSAIN MUHAMMAD KHAN</t>
  </si>
  <si>
    <t>MOHAMMAD AFTAB RAJA WALI DAD</t>
  </si>
  <si>
    <t>MOHAMMAD SAJID MAHMOOD</t>
  </si>
  <si>
    <t>NAZAM KHAN MEHMOOD AHMED</t>
  </si>
  <si>
    <t>MOHSIN BASHIR SARDAR</t>
  </si>
  <si>
    <t>MUHAMMAD FARYAD MUHAMMAD</t>
  </si>
  <si>
    <t>MUHAMMAD IRFAN KHAN MUHAMMAD</t>
  </si>
  <si>
    <t>SRINIVAS GUNDARAPU BALAIAH</t>
  </si>
  <si>
    <t>BABER BASHIR SARDAR</t>
  </si>
  <si>
    <t>MEHTAB AHMED</t>
  </si>
  <si>
    <t>MUHAMMED NADEEM</t>
  </si>
  <si>
    <t>RAMEEZ ZAFAR IQBAL</t>
  </si>
  <si>
    <t xml:space="preserve">TOTAL AMOUNT </t>
  </si>
  <si>
    <t>21JULY TO 17TH AUG</t>
  </si>
  <si>
    <t>22TH DEC TO 31TH DEC</t>
  </si>
  <si>
    <t>1ST APRIL TO 30MAY</t>
  </si>
  <si>
    <t>JOIN IN MAY 2010</t>
  </si>
  <si>
    <t>JOIN IN NOV 2010</t>
  </si>
  <si>
    <t>NOT JOINT</t>
  </si>
  <si>
    <t>8 DAYS LEAVE IN JULY</t>
  </si>
  <si>
    <t>JOIN IN AUG 2010</t>
  </si>
  <si>
    <t>14TH JAN 2010 TO MARCH 8TH MARCH</t>
  </si>
  <si>
    <t>1ST APRIL TO  18JUNE</t>
  </si>
  <si>
    <t>23AUG TO 13SEP</t>
  </si>
  <si>
    <t>19SEP TO 17DEC</t>
  </si>
  <si>
    <t>19JULY TO 19AUT</t>
  </si>
  <si>
    <t>NO LEAVE</t>
  </si>
  <si>
    <t>1JAN TO 6JAN</t>
  </si>
  <si>
    <t>TOTAL</t>
  </si>
  <si>
    <t>18-MAY TO 29 JUNE</t>
  </si>
  <si>
    <t>1FEB TO 20MARCH</t>
  </si>
  <si>
    <t>9JAN TO 5MARCH</t>
  </si>
  <si>
    <t>6TH NOV TO 31 DEC</t>
  </si>
  <si>
    <t>JOIN IN 2012</t>
  </si>
  <si>
    <t>1ST JULY TO 31AUG</t>
  </si>
  <si>
    <t>1-01-2010 TO 27-02-2010</t>
  </si>
  <si>
    <t>19TH MARC TO 29MAY</t>
  </si>
  <si>
    <t>01ST JAN TO 24FEB</t>
  </si>
  <si>
    <t>01ST JAN TO 22FEB</t>
  </si>
  <si>
    <t>1ST AUG TO 22OCT</t>
  </si>
  <si>
    <t>24JULY TO 17DEC</t>
  </si>
  <si>
    <t>01ST JAN TO 2FEB</t>
  </si>
  <si>
    <t>JOIN FROM DEC 2011</t>
  </si>
  <si>
    <t>1ST SEP TO 17 SEP</t>
  </si>
  <si>
    <t>01-JAN TO 05-JAN</t>
  </si>
  <si>
    <t>17DEC TO 31 DEC</t>
  </si>
  <si>
    <t>JOIN IN JUNE</t>
  </si>
  <si>
    <t>1JUNE TO 10JUNE</t>
  </si>
  <si>
    <t>9 DEC TO 31 DEC</t>
  </si>
  <si>
    <t>1 APRIL TO 5APRIL</t>
  </si>
  <si>
    <t>29APRI TO 4JUNE</t>
  </si>
  <si>
    <t>01AUG TO 7AUG</t>
  </si>
  <si>
    <t>14JAN TO 14FEB</t>
  </si>
  <si>
    <t>9JUNE TO 19JULY</t>
  </si>
  <si>
    <t>20AUG TO 24SEP</t>
  </si>
  <si>
    <t>08SEPT TO 12OCT</t>
  </si>
  <si>
    <t>JOIN IN NOV</t>
  </si>
  <si>
    <t>29SEP TO 31DEC</t>
  </si>
  <si>
    <t>27FEB TO 31MAY</t>
  </si>
  <si>
    <t>1JAN TO 19JAN</t>
  </si>
  <si>
    <t>1JUNE TO 23SEP</t>
  </si>
  <si>
    <t>JOIN IN 2011</t>
  </si>
  <si>
    <t>15APRIL TO 10JULY</t>
  </si>
  <si>
    <t>JOIN 2012</t>
  </si>
  <si>
    <t>1JULY TO 17 JULY</t>
  </si>
  <si>
    <t>JOIN IN DEC</t>
  </si>
  <si>
    <t>01SEP TO 31 DEC</t>
  </si>
  <si>
    <t>1MARCH TO 1MAY</t>
  </si>
  <si>
    <t>28SEP TO 31DEC</t>
  </si>
  <si>
    <t>10JULY TO 22SEP</t>
  </si>
  <si>
    <t>3FEB TO 4APRIL</t>
  </si>
  <si>
    <t>JOIN IN JAN 2011</t>
  </si>
  <si>
    <t>JOIN IN MAY 2011</t>
  </si>
  <si>
    <t>JOIN IN JUNE2011</t>
  </si>
  <si>
    <t>JOIN IN NOV 2011</t>
  </si>
  <si>
    <t>JOIN IN APRIL</t>
  </si>
  <si>
    <t>JOIN IN MAY</t>
  </si>
  <si>
    <t>JOIN IN SEP 2011</t>
  </si>
  <si>
    <t>JOIN JAN 2012</t>
  </si>
  <si>
    <t>JOIN IN JUNE 2011</t>
  </si>
  <si>
    <t>JOIN IN MARCH 2012</t>
  </si>
  <si>
    <t>S. NO.</t>
  </si>
  <si>
    <t>STAFF NAME</t>
  </si>
  <si>
    <t>1ST LEAVE</t>
  </si>
  <si>
    <t>2ND LEAVE</t>
  </si>
  <si>
    <t>LEAVE</t>
  </si>
  <si>
    <t>S.NO.</t>
  </si>
  <si>
    <t>JOINING DATE</t>
  </si>
  <si>
    <t>JOIN FROM FEB</t>
  </si>
  <si>
    <t>leave job</t>
  </si>
  <si>
    <t>1ND LEAVE</t>
  </si>
  <si>
    <t>ABDUL NAMEER POTTAMEL</t>
  </si>
  <si>
    <t>UMESH PAYYAM VALAPPIL</t>
  </si>
  <si>
    <t>PRABHAKAR POONAM ANJAIAH POONAM</t>
  </si>
  <si>
    <t>SHAMEER MUNDAKKATTU THODI</t>
  </si>
  <si>
    <t>RAFEEKH CHERIYANDI HOUSE</t>
  </si>
  <si>
    <t>SAJEEV PATTAKKAL</t>
  </si>
  <si>
    <t>on leave from 15-2-2013</t>
  </si>
  <si>
    <t>ANEESH KUMAR PALOT</t>
  </si>
  <si>
    <t>MOHAMMED SHAFEEK ABDUL KALAM</t>
  </si>
  <si>
    <t>NAVAS MOIDEENKUNHI HASSAINAR</t>
  </si>
  <si>
    <t>ASLAMBHAI SHEIKH</t>
  </si>
  <si>
    <t>not come yet</t>
  </si>
  <si>
    <t>join on march 2013</t>
  </si>
  <si>
    <t>join on jan 2013</t>
  </si>
  <si>
    <t>join on feb 2013</t>
  </si>
  <si>
    <t>SANTHOSH PRABHAKARAN</t>
  </si>
  <si>
    <t>join on april 2013</t>
  </si>
  <si>
    <t>MUHAMMED RAFI CHALIKANDY</t>
  </si>
  <si>
    <t>DHANOOP PADMANABHAN</t>
  </si>
  <si>
    <t>RAJEEV PATTAKKAL</t>
  </si>
  <si>
    <t>join on may 2013</t>
  </si>
  <si>
    <t>join on june 2013</t>
  </si>
  <si>
    <t>JAGEESH PANDIKA THARAMMAL</t>
  </si>
  <si>
    <t>NIKHIL NALLATT</t>
  </si>
  <si>
    <t>join on july 2013</t>
  </si>
  <si>
    <t>Avrg</t>
  </si>
  <si>
    <t>SHARAFUDHEEN POROT PATILLATH</t>
  </si>
  <si>
    <t>VINEESH CHERUVATHUR</t>
  </si>
  <si>
    <t>MUHAMMAD NIYAS KURIYAKATH</t>
  </si>
  <si>
    <t>VINOD KUNHAPPU KUNHAPPU</t>
  </si>
  <si>
    <t xml:space="preserve">Ratheesh Naravanan </t>
  </si>
  <si>
    <t>Shamil Nisath  </t>
  </si>
  <si>
    <t>FAZIL ASHRAF KUZHIKANDATHIL</t>
  </si>
  <si>
    <t>NANDA KUMAR</t>
  </si>
  <si>
    <t>SANTHOSH NATHANI</t>
  </si>
  <si>
    <t>BYJU KAKKOTH</t>
  </si>
  <si>
    <t>MUJEEB ELLIKERRAKKATH</t>
  </si>
  <si>
    <t>MOHD JABID MOIDU KUNHI</t>
  </si>
  <si>
    <t>SEWAK RUKMAN RAI</t>
  </si>
  <si>
    <t>SUBHADIN CHUNNUM TAMANG</t>
  </si>
  <si>
    <t>ABHILASH CHANDRACHOODAN NAIR</t>
  </si>
  <si>
    <t>JOIN FEB 2014</t>
  </si>
  <si>
    <t>JOIN MARCH 2014</t>
  </si>
  <si>
    <t>JOIN MAY 2014</t>
  </si>
  <si>
    <t>PAWAN KUMAR</t>
  </si>
  <si>
    <t>SREEKANTH</t>
  </si>
  <si>
    <t>MAHENDRA KUMAR</t>
  </si>
  <si>
    <t>KABEER</t>
  </si>
  <si>
    <t>Gangarajan</t>
  </si>
  <si>
    <t>PASSANG TAMANG</t>
  </si>
  <si>
    <t>BIPLAB TAMANG</t>
  </si>
  <si>
    <t>MUHAMMAD KHITAB</t>
  </si>
  <si>
    <t>HAREESH CHANDRAN THOTTIPARAMBIL</t>
  </si>
  <si>
    <t>UMAIR RIAZ</t>
  </si>
  <si>
    <t>not join till 31-12-2014</t>
  </si>
  <si>
    <t>NOT JOIN TILL 31-12-2014</t>
  </si>
  <si>
    <t>CANCEL</t>
  </si>
  <si>
    <t>ASHFAQ AHMED</t>
  </si>
  <si>
    <t>DANNA</t>
  </si>
  <si>
    <t>PRADEEP MAKHIJA</t>
  </si>
  <si>
    <t>SHALA AL MOHD</t>
  </si>
  <si>
    <t>SHIJU</t>
  </si>
  <si>
    <t>Mallesh</t>
  </si>
  <si>
    <t>Dileep Kumar</t>
  </si>
  <si>
    <t>AJNAS</t>
  </si>
  <si>
    <t>Muhammad Shalim</t>
  </si>
  <si>
    <t>Sathisha Somanna Soladamukhi</t>
  </si>
  <si>
    <t>KALIDHU MOHAMMED IQBAL</t>
  </si>
  <si>
    <t>Muhammad Ishtiaq</t>
  </si>
  <si>
    <t>Irfan Sajjad</t>
  </si>
  <si>
    <t>JOIN IN 2015</t>
  </si>
  <si>
    <t>VIKAS</t>
  </si>
  <si>
    <t>not join till 31st dec</t>
  </si>
  <si>
    <t>SL</t>
  </si>
  <si>
    <t>MR.</t>
  </si>
  <si>
    <t>MS.</t>
  </si>
  <si>
    <t>MR</t>
  </si>
  <si>
    <t>ARUN KANAKODE</t>
  </si>
  <si>
    <t>SHAMIL NISATH</t>
  </si>
  <si>
    <t>SAHAL MUHAMMED</t>
  </si>
  <si>
    <t>3RD LEAVE</t>
  </si>
  <si>
    <t>NOT JOIN YET</t>
  </si>
  <si>
    <t>REMARK</t>
  </si>
  <si>
    <t>join in sep 2014</t>
  </si>
  <si>
    <t>yrs</t>
  </si>
  <si>
    <t>yasin</t>
  </si>
  <si>
    <t>BIPLAB DEV</t>
  </si>
  <si>
    <t>PARAMESH CHANDRAIAH NASPURI</t>
  </si>
  <si>
    <t>SAGEESH GURIKKALOT</t>
  </si>
  <si>
    <t>SHIYAS KETANHOTH MEETHAL</t>
  </si>
  <si>
    <t>JOIN IN 2016</t>
  </si>
  <si>
    <t>USMAN</t>
  </si>
  <si>
    <t>IMRAN KHAN</t>
  </si>
  <si>
    <t xml:space="preserve">Mejon Chittilappilly Jose </t>
  </si>
  <si>
    <t>Muhammad Sabir Muhammad</t>
  </si>
  <si>
    <t>TILL</t>
  </si>
  <si>
    <t>SANDEEP</t>
  </si>
  <si>
    <t>RAJISH CHERIKANDIYIL</t>
  </si>
  <si>
    <t>KWAJA NIJAMUDDIN</t>
  </si>
  <si>
    <t>RAJEEVAN</t>
  </si>
  <si>
    <t>VIJAY SINGAM</t>
  </si>
  <si>
    <t>SYED MURTUZA</t>
  </si>
  <si>
    <t xml:space="preserve">RAHEEM </t>
  </si>
  <si>
    <t>MUHD USMAN</t>
  </si>
  <si>
    <t>MOHAMED Faizal</t>
  </si>
  <si>
    <t>ABDUL ZUBIR</t>
  </si>
  <si>
    <t>SUNIL KUMAR</t>
  </si>
  <si>
    <t>UMESH NAIK</t>
  </si>
  <si>
    <t>PRABHAKAR MYLARAPU</t>
  </si>
  <si>
    <t>AKASH RAVINDRA TAMBEKAR</t>
  </si>
  <si>
    <t>RAHUL ARIMBOOTH</t>
  </si>
  <si>
    <t>NOT YET JOIN</t>
  </si>
  <si>
    <t>SAMSEER MANGALADAN ASSU</t>
  </si>
  <si>
    <t>TOQEER</t>
  </si>
  <si>
    <t>NARSIAH JAISETTI</t>
  </si>
  <si>
    <t>THIRUPATHI JAINAPURAPU</t>
  </si>
  <si>
    <t>SAIKUMAR EDUGUNURI</t>
  </si>
  <si>
    <t>LEAVE DUE</t>
  </si>
  <si>
    <t>TAHER KHAN</t>
  </si>
  <si>
    <t>GANESH KANUJIA</t>
  </si>
  <si>
    <t>LEAVE COMPANY</t>
  </si>
  <si>
    <t>HITESH TEKWANI</t>
  </si>
  <si>
    <t>ZEESHAN</t>
  </si>
  <si>
    <t>NOOH</t>
  </si>
  <si>
    <t>MOHAMMED KABEER KOTTA</t>
  </si>
  <si>
    <t>SHEKAR VEMULWADA</t>
  </si>
  <si>
    <t>KAREEM CHOKKIYAN</t>
  </si>
  <si>
    <t>MUHAMMED BASITH NAUSAHD</t>
  </si>
  <si>
    <t>RAJENDRA PRASAD POTUGANTI</t>
  </si>
  <si>
    <t>MUHAMMED FAYAS KUNDUVALPPIL</t>
  </si>
  <si>
    <t>ATHUL ELLIKANDAVIDA</t>
  </si>
  <si>
    <t>JITHIN KUNHI PURAYIL</t>
  </si>
  <si>
    <t>NIYAS KIDANHOTH MEETHAL</t>
  </si>
  <si>
    <t>SAMAD CHONAKADAVATH SADIRI (SALESMAN)</t>
  </si>
  <si>
    <t>ABU SALIH(MERCHANDISER )</t>
  </si>
  <si>
    <t>ABID MUHAMMAD(MERCHANDISER )</t>
  </si>
  <si>
    <t>SRINIVAS LINGAMPELLY(MERCHANDISER )</t>
  </si>
  <si>
    <t>SHIYAS (MERCHANDISER )</t>
  </si>
  <si>
    <t>UNAIS(MERCHANDISER )</t>
  </si>
  <si>
    <t>DINARAJ JAYARAJ DIVAKARAN</t>
  </si>
  <si>
    <t>RONAK JAIDEV DEVNANI</t>
  </si>
  <si>
    <t>ANKIT KANOJIYA</t>
  </si>
  <si>
    <t>VISA CANCEL</t>
  </si>
  <si>
    <t>VAMSHI VADNALA GANGADHAR VADNALA</t>
  </si>
  <si>
    <t>JOIN JAN 2017</t>
  </si>
  <si>
    <t>PARSHAN TAMANG BHULAN TAMANG</t>
  </si>
  <si>
    <t>MIDHUN</t>
  </si>
  <si>
    <t>MAHTAB AHMED MAROOF</t>
  </si>
  <si>
    <t>SULOVE CHHETRI</t>
  </si>
  <si>
    <t>VENKATESH</t>
  </si>
  <si>
    <t>SHAHANAS PUNNA KKAN</t>
  </si>
  <si>
    <t>MOHAMMED RAHIM</t>
  </si>
  <si>
    <t>MUHAMMAD QAMAR UZ ZAMAN</t>
  </si>
  <si>
    <t>ASHOK ALANILKUNNATHIL</t>
  </si>
  <si>
    <t>MUHD YASIN</t>
  </si>
  <si>
    <t>RAJEEVAN ROUTHU</t>
  </si>
  <si>
    <t>Shoukkath Ali</t>
  </si>
  <si>
    <t>SANJAY SHIV POOJAN</t>
  </si>
  <si>
    <t>VISHAL RAVINDRA TAMBEKAR</t>
  </si>
  <si>
    <t>GAURAV NATHANI</t>
  </si>
  <si>
    <t>MUHAMMED RISHAM</t>
  </si>
  <si>
    <t>RAVI JAISWAL</t>
  </si>
  <si>
    <t>LALIT GURJAR</t>
  </si>
  <si>
    <t xml:space="preserve">SUHAIR </t>
  </si>
  <si>
    <t>ASHOK KUMAR CHAURASIYA</t>
  </si>
  <si>
    <t>MOHAMMED NISHAN</t>
  </si>
  <si>
    <t>Uttham Mailaram</t>
  </si>
  <si>
    <t>PRAVIN NETAJI TAMBEKAR</t>
  </si>
  <si>
    <t>SAJUDEEN SAJEER SAJUDEEN</t>
  </si>
  <si>
    <t>Mukhtar Ahmad</t>
  </si>
  <si>
    <t>ANWAR JATTIPALLA ISUBU</t>
  </si>
  <si>
    <t>AKSHAY SHAJI EDAPPARAMATTTHIL</t>
  </si>
  <si>
    <t>RAMESH NAIK RAMA</t>
  </si>
  <si>
    <t>MANGAL SINGH TEHAL SINGH</t>
  </si>
  <si>
    <t>FAHAD (Merchandiser )</t>
  </si>
  <si>
    <t>MEHBOOB ALOM</t>
  </si>
  <si>
    <t>MANOJ</t>
  </si>
  <si>
    <t>MUHAMMAD MEHTAB MUHAMMAD</t>
  </si>
  <si>
    <t>KADATHALA- SHEKAR  (WAREHOUSE)</t>
  </si>
  <si>
    <t>RANJITH KUMAR</t>
  </si>
  <si>
    <t xml:space="preserve">FIRDUS ALAM  </t>
  </si>
  <si>
    <t>BISWJITH</t>
  </si>
  <si>
    <t>SUDHIR</t>
  </si>
  <si>
    <t>AJITH</t>
  </si>
  <si>
    <t>NABEEL KAFEEL</t>
  </si>
  <si>
    <t>SHALIM</t>
  </si>
  <si>
    <t>MOHAMMAD REAZ</t>
  </si>
  <si>
    <t>JITESH</t>
  </si>
  <si>
    <t>DEEPAK PUSHPAN</t>
  </si>
  <si>
    <t>JITHIN PANDIYATH</t>
  </si>
  <si>
    <t>SHAMIL NISATH SULAIMAN</t>
  </si>
  <si>
    <t>MOHAMMED JAMSHED</t>
  </si>
  <si>
    <t>AMIL TAJ</t>
  </si>
  <si>
    <t>SABITH MANAPPATTU NOUSHAD</t>
  </si>
  <si>
    <t>JIBEESH KANIYAM KANDI</t>
  </si>
  <si>
    <t>MD SUHAL AHMED</t>
  </si>
  <si>
    <t xml:space="preserve">MUHAMMED RASHEEQUE NERON PARAMMAL </t>
  </si>
  <si>
    <t>Motiur Rahman</t>
  </si>
  <si>
    <t>MUHAMMED SALIM PUTHIYAKATHU</t>
  </si>
  <si>
    <t>ZIA UL MUSTAFA BASHARAT</t>
  </si>
  <si>
    <t>Pramod Poinachi</t>
  </si>
  <si>
    <t>JISHNU JOHNY SHEEBA</t>
  </si>
  <si>
    <t>MUHAMMED SHANIR</t>
  </si>
  <si>
    <t>VIKASH KUMAR RAJENDRA KUMAR</t>
  </si>
  <si>
    <t>SYED SHERAZ RAZA</t>
  </si>
  <si>
    <t>SADIK ALOM</t>
  </si>
  <si>
    <t xml:space="preserve">NEW LAL PANDEY </t>
  </si>
  <si>
    <t>Tushan Singh</t>
  </si>
  <si>
    <t xml:space="preserve">M.D Monjurul </t>
  </si>
  <si>
    <t>MANOJ GEORGE</t>
  </si>
  <si>
    <t>RAJMOHAN KANAKKODIKANDARI</t>
  </si>
  <si>
    <t>UMER AURANGZAIB AURANGZAIB KHAN</t>
  </si>
  <si>
    <t>TAHIR KHAN</t>
  </si>
  <si>
    <t>SURAJ UTHAMAN</t>
  </si>
  <si>
    <t>ROHIT NATHANI</t>
  </si>
  <si>
    <t>AMAL SID</t>
  </si>
  <si>
    <t>MAHADI HASAN ARAFAT</t>
  </si>
  <si>
    <t>Employee ID</t>
  </si>
  <si>
    <t>IDMO-032</t>
  </si>
  <si>
    <t>IDMO-044</t>
  </si>
  <si>
    <t>IDBO-018</t>
  </si>
  <si>
    <t>IDMO-090</t>
  </si>
  <si>
    <t>IDMO-101</t>
  </si>
  <si>
    <t>IDMO-123</t>
  </si>
  <si>
    <t>IDMS-001</t>
  </si>
  <si>
    <t>IDMO-002</t>
  </si>
  <si>
    <t>IDMS-003</t>
  </si>
  <si>
    <t>IDBS-012</t>
  </si>
  <si>
    <t>IDBO-036</t>
  </si>
  <si>
    <t>IDMS-004</t>
  </si>
  <si>
    <t>IDBS-024</t>
  </si>
  <si>
    <t>IDBS-016</t>
  </si>
  <si>
    <t>IDMS-108</t>
  </si>
  <si>
    <t>IDMS-109</t>
  </si>
  <si>
    <t>IDMS-017</t>
  </si>
  <si>
    <t>IDBM-023</t>
  </si>
  <si>
    <t>IDBM-026</t>
  </si>
  <si>
    <t>IDBM-033</t>
  </si>
  <si>
    <t>IDMM-034</t>
  </si>
  <si>
    <t>IDBM-035</t>
  </si>
  <si>
    <t>IDMM-028</t>
  </si>
  <si>
    <t>IDBM-029</t>
  </si>
  <si>
    <t>IDMM-021</t>
  </si>
  <si>
    <t>Remarks</t>
  </si>
  <si>
    <t>IDBM-039</t>
  </si>
  <si>
    <t>IDBM-040</t>
  </si>
  <si>
    <t>IDMM-041</t>
  </si>
  <si>
    <t>IDMM-042</t>
  </si>
  <si>
    <t>IDBM-043</t>
  </si>
  <si>
    <t>IDMC-047</t>
  </si>
  <si>
    <t>IDMM-049</t>
  </si>
  <si>
    <t>IDMM-050</t>
  </si>
  <si>
    <t>IDMM-053</t>
  </si>
  <si>
    <t>IDMM-010</t>
  </si>
  <si>
    <t>IDMM-054</t>
  </si>
  <si>
    <t>IDMM-055</t>
  </si>
  <si>
    <t>IDMM-057</t>
  </si>
  <si>
    <t>IDMM-056</t>
  </si>
  <si>
    <t>IDMM-058</t>
  </si>
  <si>
    <t>IDMM-059</t>
  </si>
  <si>
    <t>IDMM-060</t>
  </si>
  <si>
    <t>IDMM-061</t>
  </si>
  <si>
    <t>IDMM-062</t>
  </si>
  <si>
    <t>IDMM-064</t>
  </si>
  <si>
    <t>IDMM-065</t>
  </si>
  <si>
    <t>IDMM-067</t>
  </si>
  <si>
    <t>IDMM-068</t>
  </si>
  <si>
    <t>IDMM-073</t>
  </si>
  <si>
    <t>IDMM-074</t>
  </si>
  <si>
    <t>IDMM-076</t>
  </si>
  <si>
    <t>IDMM-077</t>
  </si>
  <si>
    <t>IDMM-080</t>
  </si>
  <si>
    <t>IDMM-079</t>
  </si>
  <si>
    <t>IDMM-081</t>
  </si>
  <si>
    <t>IDMM-086</t>
  </si>
  <si>
    <t>IDMM-083</t>
  </si>
  <si>
    <t>IDMM-085</t>
  </si>
  <si>
    <t>IDMM-087</t>
  </si>
  <si>
    <t>IDMM-088</t>
  </si>
  <si>
    <t>IDMM-092</t>
  </si>
  <si>
    <t>IDMM-094</t>
  </si>
  <si>
    <t>IDMM-096</t>
  </si>
  <si>
    <t>IDMM-095</t>
  </si>
  <si>
    <t>IDMM-105</t>
  </si>
  <si>
    <t>IDMM-098</t>
  </si>
  <si>
    <t>IDMM-104</t>
  </si>
  <si>
    <t>IDMM-099</t>
  </si>
  <si>
    <t>IDMM-102</t>
  </si>
  <si>
    <t>IDMM-120</t>
  </si>
  <si>
    <t>IDMM-118</t>
  </si>
  <si>
    <t>IDMM-119</t>
  </si>
  <si>
    <t>IDMM-112</t>
  </si>
  <si>
    <t>IDMM-113</t>
  </si>
  <si>
    <t>IDMM-110</t>
  </si>
  <si>
    <t>IDMM-115</t>
  </si>
  <si>
    <t>IDMM-111</t>
  </si>
  <si>
    <t>IDMM-116</t>
  </si>
  <si>
    <t>IDMM-126</t>
  </si>
  <si>
    <t>IDMM-122</t>
  </si>
  <si>
    <t>IDMM-124</t>
  </si>
  <si>
    <t>IDMM-125</t>
  </si>
  <si>
    <t>IDMD-007</t>
  </si>
  <si>
    <t>IDBD-011</t>
  </si>
  <si>
    <t>IDBD-022</t>
  </si>
  <si>
    <t>IDBD-020</t>
  </si>
  <si>
    <t>IDMD-013</t>
  </si>
  <si>
    <t>IDMD-072</t>
  </si>
  <si>
    <t>IDMD-093</t>
  </si>
  <si>
    <t>IDMD-121</t>
  </si>
  <si>
    <t>IDBC-006</t>
  </si>
  <si>
    <t>IDMC-107</t>
  </si>
  <si>
    <t>IDMC-025</t>
  </si>
  <si>
    <t>IDMC-051</t>
  </si>
  <si>
    <t>IDMC-070</t>
  </si>
  <si>
    <t>IDMC-071</t>
  </si>
  <si>
    <t>IDMC-100</t>
  </si>
  <si>
    <t>IDMC-066</t>
  </si>
  <si>
    <t>IDMC-127</t>
  </si>
  <si>
    <t>IDMW-005</t>
  </si>
  <si>
    <t>IDMW-069</t>
  </si>
  <si>
    <t>IDMC-045</t>
  </si>
  <si>
    <t>IDBC-027</t>
  </si>
  <si>
    <t>IDML-008</t>
  </si>
  <si>
    <t>IDBL-009</t>
  </si>
  <si>
    <t>IDBL-014</t>
  </si>
  <si>
    <t>IDMW-015</t>
  </si>
  <si>
    <t>IDML-019</t>
  </si>
  <si>
    <t>IDML-030</t>
  </si>
  <si>
    <t>IDMS-031</t>
  </si>
  <si>
    <t>IDML-038</t>
  </si>
  <si>
    <t>IDML-037</t>
  </si>
  <si>
    <t>IDML-052</t>
  </si>
  <si>
    <t>MUHAMMAD MAHTAB MUHAMMAD IRSHAD NEW W/H STAFF</t>
  </si>
  <si>
    <t>MEHTAB AHMED WALI DAD KHAN OLD STAFF W/H</t>
  </si>
  <si>
    <t>IDML-084</t>
  </si>
  <si>
    <t>IDML-097</t>
  </si>
  <si>
    <t>IDML-103</t>
  </si>
  <si>
    <t>IDML-129</t>
  </si>
  <si>
    <t>IDMO-130</t>
  </si>
  <si>
    <t>IDMS-138</t>
  </si>
  <si>
    <t>IDML-091</t>
  </si>
  <si>
    <t>IDMO-133</t>
  </si>
  <si>
    <t>IDMM-131</t>
  </si>
  <si>
    <t>IDMC-132</t>
  </si>
  <si>
    <t>IDMM-106</t>
  </si>
  <si>
    <t>IDFO-000</t>
  </si>
  <si>
    <t>PRAJNA PUTTUR DIVAKARA</t>
  </si>
  <si>
    <t>IDMO-134</t>
  </si>
  <si>
    <t>4TH LEAVE</t>
  </si>
  <si>
    <t>MOHAMMED ABDULLA SALEM JAMAAN QUMMAN</t>
  </si>
  <si>
    <t>PRAVEEN KUMAR KESHWANI</t>
  </si>
  <si>
    <t>SACHIN KANOUJIYA</t>
  </si>
  <si>
    <t>IDMO-135</t>
  </si>
  <si>
    <t>IDMM-136</t>
  </si>
  <si>
    <t>IDMM-137</t>
  </si>
  <si>
    <t>KANTESH GAGAN DAS NIHALACHANDANI</t>
  </si>
  <si>
    <t>PAWAN JAIKISHIN KOTAI</t>
  </si>
  <si>
    <t>SANDEEP PULLANCHIODAN RAMATH SURENDRAN KURINHERI</t>
  </si>
  <si>
    <t>ABIRAL ARUN THAPA</t>
  </si>
  <si>
    <t>GAURAV NATHANI SANTOSH NATHANI</t>
  </si>
  <si>
    <t>RANJITH KUMAR NAMPELLY RAJAIAH</t>
  </si>
  <si>
    <t>JISHNU JOHNY SHEEBA JOHNY VISWAMBARAN</t>
  </si>
  <si>
    <t>SANJAY MICHUMAL PUNJABI</t>
  </si>
  <si>
    <t>MAHESH CHAINANI RAMCHAND</t>
  </si>
  <si>
    <t>JITESH CHAWLA</t>
  </si>
  <si>
    <t>ASHFAQ MUHAMMAD AHAMED</t>
  </si>
  <si>
    <t>NISHITH SURENDRAN NATHAN KAVIL VADAKKE VEETIL SURENDRAN KUNIYIL</t>
  </si>
  <si>
    <t>ASLAMBHAI ARIFBHAI SHEIKH SHEIKH ARIFBHI MEHMOODBHAI</t>
  </si>
  <si>
    <t>PRAVEEN KUMAR PERIYADAN KADINHIPALLY</t>
  </si>
  <si>
    <t>DEEPAK PUSHPAN PUSHPANGANGADHARAN</t>
  </si>
  <si>
    <t>JITHIN PANDIYATH RAJAN PANDIYATH RAMAN RAJAN</t>
  </si>
  <si>
    <t>PRAMOD POINACHI KUNHI RAMAN POINACHI</t>
  </si>
  <si>
    <t>PRABHAKAR PONNAM ANJAIAH PONNAM</t>
  </si>
  <si>
    <t>MUHAMMAD NIYAS KURIYAKATH MULLAVAPPIL NAZER</t>
  </si>
  <si>
    <t>KABEER MULLAPURATH CHIRAPURATH</t>
  </si>
  <si>
    <t>GANGARAJAM BAKKAIAH ODNALA</t>
  </si>
  <si>
    <t>SHIJU VARAKKOTH KUNHIKANNAN NAMBIAR PEEDIKA VALAPPIL</t>
  </si>
  <si>
    <t>MOHAMMED JABID MOIDU KUNHI</t>
  </si>
  <si>
    <t>SUBHADIN CHUNNUM TAMANG TAMANG</t>
  </si>
  <si>
    <t>ARUN KANNOTHIL MANIKANDAN KANNOTHIL</t>
  </si>
  <si>
    <t>BIPLAB DEB AJIT DEB</t>
  </si>
  <si>
    <t>PARAMESH CHANDRAIAH NASPURI CHANDRAIAH POSANNA NASPURI</t>
  </si>
  <si>
    <t>MUHAMMAD USMAN RIAZ AHMAD</t>
  </si>
  <si>
    <t>IMRAN KHAN MUBARAK MOHAMMED KHASIM</t>
  </si>
  <si>
    <t>MUHAMMAD SABIR MUHAMMAD SAEED</t>
  </si>
  <si>
    <t>UMESH RAMA NAIK RAMA NAIK</t>
  </si>
  <si>
    <t>THIRUPATHI JAINAPURAPU BHEEMAIAH JAINAPURAPU</t>
  </si>
  <si>
    <t>SAI KUMAR EDUGUNURI NADAIAH EDUGUNURI</t>
  </si>
  <si>
    <t>MOHAMMED TAHIR KHAN PATHAN</t>
  </si>
  <si>
    <t>GANESH KANAUJIA RAM CHANDAR KANAUJIA</t>
  </si>
  <si>
    <t>ZESHAN ASLAM MUHAMMAD ASLAM</t>
  </si>
  <si>
    <t>NOOH THANCHANKANDY MOIDEEN KUTTY KALLIAN KATTIL</t>
  </si>
  <si>
    <t>KAREEM CHOKKIYAN MOIDEENKUTTY VALAPPIL</t>
  </si>
  <si>
    <t>MIDHUN VALIYAPURAKKAL MOHANAN MOHANAN VALIYAPURAKKAL VELAYUDHAN</t>
  </si>
  <si>
    <t>MUHAMMED BASITH MANAPPATTU NAUSHAD NAUSHAD</t>
  </si>
  <si>
    <t>ABU SALIH MAYYERI MOHAMMED KUTTY MAYYERI</t>
  </si>
  <si>
    <t>MUHAMMAD ABID MUHAMMAD SAEED</t>
  </si>
  <si>
    <t>SHIYAS KETANHOTH MEETHAL ABDULLA</t>
  </si>
  <si>
    <t>ATHUL ELLIKANDAVIDA KRISHNAN ALLIKANDAVIDA</t>
  </si>
  <si>
    <t>ANKIT KANOJIYA RAM KISHOR KANOJIYA</t>
  </si>
  <si>
    <t>VAMHSI VADNALA GANGADHAR VADNALA</t>
  </si>
  <si>
    <t>SHOUKKATHALI PALAKKOTTU PARAMBATH RAFEEQUE PALAKKOTTU PARAMBATH</t>
  </si>
  <si>
    <t>MOHAMMED RAHIM UDDIN EMDAD HOSSAIN</t>
  </si>
  <si>
    <t>VISHAL RAVINDRA TAMBEKAR RAVINDRA PANDURANG TAMBEKAR</t>
  </si>
  <si>
    <t>MUHAMMED RISHAM VENGARATH PUTHIYAPURAYIL RAHIM</t>
  </si>
  <si>
    <t>BYJU KAKOTH KUNHIKANNAN</t>
  </si>
  <si>
    <t>ASHOK KUMAR CHAURASIYA SIYA</t>
  </si>
  <si>
    <t>PRAVIN TAMBEKAR NETAJI</t>
  </si>
  <si>
    <t>SAJUDEEN SAJEER SAJUDHEEN</t>
  </si>
  <si>
    <t>MUKHTAR AHMAD ABDUL RAHMAN CHOPAN</t>
  </si>
  <si>
    <t>AKSHAY SHAJI</t>
  </si>
  <si>
    <t>FAHAD HOSSAIN DOLON MD DEWAR HOSSEN</t>
  </si>
  <si>
    <t>MEHBOOB ALOM MOULANA ABUL KALAM</t>
  </si>
  <si>
    <t>MOHAMMAD REAZ UDDIN MOHAMMAD DULAL MIA</t>
  </si>
  <si>
    <t>AJNAS VATTA KANDI ABDULLA THIYYAROTH</t>
  </si>
  <si>
    <t>FIRDUS ALOM TALUKDAR MOKTAR UDDIN TALUKDAR</t>
  </si>
  <si>
    <t>BISWAJIT DEB BIKASH DEB</t>
  </si>
  <si>
    <t>SHAMIL NISATH SULAIMAN SYED SULAIMAN</t>
  </si>
  <si>
    <t>SUDHIR KUMAR SUBEDAR</t>
  </si>
  <si>
    <t>AMIL TAJ MUHAMMAD TAJ</t>
  </si>
  <si>
    <t>SABITH MANAPPATTU NOUSHAD NOUSHAD MANAPPATTU MAJEED</t>
  </si>
  <si>
    <t>JIBEESH KANIYAM KANDI MEETHAL</t>
  </si>
  <si>
    <t>MD SUHAL AHMED MD TAFAZZUL ALI</t>
  </si>
  <si>
    <t>KWAJA NIJAMUDDIN ANSAR PASHA</t>
  </si>
  <si>
    <t>MUHAMMED RASHEEQUE NEROM PARAMMAL MUHAMMAD LUKHMAN NEROM PARAMMAL</t>
  </si>
  <si>
    <t>MOTIUR RAHMAN SOHID ULLAH</t>
  </si>
  <si>
    <t>ZIA UL MUSTAFA BASHARAT MUHAMMAD BASHART</t>
  </si>
  <si>
    <t>MD MONJURUL ISLAM MD OMAR FARUK</t>
  </si>
  <si>
    <t>MUHAMMED SHANIR POOCHADIYAN</t>
  </si>
  <si>
    <t>SYED SHERAZ RAZA BUKHARI SYED</t>
  </si>
  <si>
    <t>SADIK ALOM IMAN UDDIN</t>
  </si>
  <si>
    <t>ZAFAR IQBAL MOHAMMAD AZIIZ KHAN</t>
  </si>
  <si>
    <t>BASHARAT AHMAD AHMAD ULLAH KHAN</t>
  </si>
  <si>
    <t>MUHAMMAD NASIR TAJ MUHAMMAD TAJ</t>
  </si>
  <si>
    <t>RAMEEZ ZAFAR ZAFAR IQBAL</t>
  </si>
  <si>
    <t>MOHSIN BASHIR SARDAR MUHANNAD BASHIR KHAN</t>
  </si>
  <si>
    <t>MUHAMMAD QAMAR UZ ZAMAN MUHAMMAD ZAFAR KHAN NEW DRIVER</t>
  </si>
  <si>
    <t>MANOJ GEORGE GEORGE POOPPANA THOMAS</t>
  </si>
  <si>
    <t>NEW LAL PANDEY</t>
  </si>
  <si>
    <t>RAJESH KANAKKODIKANDARI RAVUNNI KUTTY PANEZHIMUNDAKKAL</t>
  </si>
  <si>
    <t>PRAMOD KUMARAN VATTAKKANDATHIL</t>
  </si>
  <si>
    <t>JAGEESH PANDIKA THARAMMAL JAYARAJAN PANDIKA THARAMMAL</t>
  </si>
  <si>
    <t>RAHUL ARIMBOOTH RAMANAN ARIMBOOTH</t>
  </si>
  <si>
    <t>MAHTAB AHMED MAROOF MUHAMMAD MARROF S/C NEW</t>
  </si>
  <si>
    <t>SULOVE CHHETRI RATAN CHHETRI</t>
  </si>
  <si>
    <t>AJITH KUMARAN ANITHAMONI KUMARAN SADASIVAN</t>
  </si>
  <si>
    <t>RAJMOHAN KANAKKAZHI KANDARI RAVUNNIKUTTY NAIR PANAZHIMUNDAKKAL</t>
  </si>
  <si>
    <t>SURESH NARSAIAH KHOICHERLA</t>
  </si>
  <si>
    <t>VENKATESH RAMANNA KODISHALA RAMANNA LAXMAYA KODISHALA</t>
  </si>
  <si>
    <t>KRISHNA GAUTAM</t>
  </si>
  <si>
    <t>BIPLAB TAMANG BARAN KUMAR TAMANG</t>
  </si>
  <si>
    <t>SAJJAD HUSSAIN MOHAMMAD KHAN</t>
  </si>
  <si>
    <t>MOHAMMAD SAJID MAHMOUD</t>
  </si>
  <si>
    <t>MUHAMMAD FARYAD MUHAMMED KHAN</t>
  </si>
  <si>
    <t>SRINIVAS GUNDARAPU GUDARAPU BALAIAH</t>
  </si>
  <si>
    <t>MUHAMMAD NADEEM KAFEEL MUHAMMAD KAFEEL KHAN</t>
  </si>
  <si>
    <t>MUHAMMAD KHITAB MUHAMMAD AFTAB KHAN</t>
  </si>
  <si>
    <t>UMAIR RIAZ MUHAMMAD RIAZ SHOUQ</t>
  </si>
  <si>
    <t>MUHAMMAD ISHTIAQ MUHAMMAD AKBAR</t>
  </si>
  <si>
    <t>IRFAN SAJJAD SAJJAD HUSSAIN</t>
  </si>
  <si>
    <t>NARSAIAH JAISETTI JAISETTI RAMULU</t>
  </si>
  <si>
    <t>SHEKAR KADATHALA SRINIVAS KADATHALA</t>
  </si>
  <si>
    <t>NABEEL KAFEEL MUHAMMED KAFEEL KHAN</t>
  </si>
  <si>
    <t>UMER AURANGZAIB</t>
  </si>
  <si>
    <t>AKASH RAVINDRA TAMBEKAR RAVINDRA PANDURAG TAMBEKAR</t>
  </si>
  <si>
    <t>SI NO</t>
  </si>
  <si>
    <t>MARKED IN YELLOW IS TICKET BOOKED BY THE COMPANY</t>
  </si>
  <si>
    <t>MOHAMMED SALIH PEECHI</t>
  </si>
  <si>
    <t>PRAJNA SACHIN POOJARY</t>
  </si>
  <si>
    <t>VAHAB KOYAKUTTY</t>
  </si>
  <si>
    <t>MAHARAJ HOSSAIN RIFAT MD BAHAR MIA</t>
  </si>
  <si>
    <t>SHEKAR VEMULAWADA GANGANNAVEMULAWADA</t>
  </si>
  <si>
    <t>IDMM-138</t>
  </si>
  <si>
    <t>IDMO-139</t>
  </si>
  <si>
    <t>IDMC-140</t>
  </si>
  <si>
    <t>IDMM-141</t>
  </si>
  <si>
    <t>IDMM-142</t>
  </si>
  <si>
    <t>MARYAM SAEED HUMAID ALGHAIS ALSHAMSI</t>
  </si>
  <si>
    <t>IDMO-143</t>
  </si>
  <si>
    <t>/11/2021</t>
  </si>
  <si>
    <t>FAHIM AHMAD MOHAMMAD YAKOB</t>
  </si>
  <si>
    <t>ZAIN SHAFIQUE MUHAMMED SHAFIQUE</t>
  </si>
  <si>
    <t>MUHAMMED YASIR PADINHARE THODI</t>
  </si>
  <si>
    <t xml:space="preserve">SUNIL KUMAR JAYSWAL </t>
  </si>
  <si>
    <t>NIJIL CHITTILAPPILLY JOHNSON</t>
  </si>
  <si>
    <t>MUHAMMAD FAISAL NAEEM</t>
  </si>
  <si>
    <t>HASEEB FIAZ MUHAMMAD FIAZ</t>
  </si>
  <si>
    <t>PRINCE KANOJIA MANI RAM</t>
  </si>
  <si>
    <t>VIJAYASINGAM RAJASINGAM</t>
  </si>
  <si>
    <t>IDMM-144</t>
  </si>
  <si>
    <t>IDML-145</t>
  </si>
  <si>
    <t>IDMM-146</t>
  </si>
  <si>
    <t>IDMM-147</t>
  </si>
  <si>
    <t>IDMM-148</t>
  </si>
  <si>
    <t>IDMD-149</t>
  </si>
  <si>
    <t>IDMC-150</t>
  </si>
  <si>
    <t>IDMM-151</t>
  </si>
  <si>
    <t>IDMM-152</t>
  </si>
  <si>
    <t>ABID MUHAMMAD(MERCHANDISER)</t>
  </si>
  <si>
    <t xml:space="preserve"> </t>
  </si>
  <si>
    <t>ZAKARIA AHMED</t>
  </si>
  <si>
    <t>UMESH KUMAR PANDEY</t>
  </si>
  <si>
    <t>MUHAMMED ZULQARNAN</t>
  </si>
  <si>
    <t>PARWEZ ALEM MD ALAM</t>
  </si>
  <si>
    <t>KAILASH KUMAR</t>
  </si>
  <si>
    <t>IDMM-153</t>
  </si>
  <si>
    <t>IDMO-154</t>
  </si>
  <si>
    <t>IDML-155</t>
  </si>
  <si>
    <t>IDMM-156</t>
  </si>
  <si>
    <t>IDMM-157</t>
  </si>
  <si>
    <t>ADEEB FIAZ MUHAMMAD FIAZ</t>
  </si>
  <si>
    <t>DAL BAHADUR MAGAR</t>
  </si>
  <si>
    <t>IDMC-158</t>
  </si>
  <si>
    <t>IDMM-159</t>
  </si>
  <si>
    <t>USMAN HUSSAIN</t>
  </si>
  <si>
    <t>FAISAL SHAHZAD</t>
  </si>
  <si>
    <t>PRADEEP KUMAR</t>
  </si>
  <si>
    <t>MANNAN MAINDUDDIN</t>
  </si>
  <si>
    <t>ADARSH VERNEKAR</t>
  </si>
  <si>
    <t>SAINUL HABID</t>
  </si>
  <si>
    <t>SUMESH MINIYEDATH</t>
  </si>
  <si>
    <t>BADUSHA THAYYIL CHEERAKUZHIYIL</t>
  </si>
  <si>
    <t>MAHESH KUMAR CHINTAKINDI</t>
  </si>
  <si>
    <t>MOIDUL ALOM BARBHUYAN</t>
  </si>
  <si>
    <t>STOBIN JOHNY</t>
  </si>
  <si>
    <t>MUHAMMED SHANIF KAYYELIKKAL</t>
  </si>
  <si>
    <t>AJEET GAUTAM</t>
  </si>
  <si>
    <t>IDMM-161</t>
  </si>
  <si>
    <t>IDMM-162</t>
  </si>
  <si>
    <t>IDMM-163</t>
  </si>
  <si>
    <t>IDMC-164</t>
  </si>
  <si>
    <t>IDMO-165</t>
  </si>
  <si>
    <t>IDMM-166</t>
  </si>
  <si>
    <t>IDMM-167</t>
  </si>
  <si>
    <t>IDMM-168</t>
  </si>
  <si>
    <t>IDMM-169</t>
  </si>
  <si>
    <t>IDMM-170</t>
  </si>
  <si>
    <t>IDMM-171</t>
  </si>
  <si>
    <t>IDMM-172</t>
  </si>
  <si>
    <t>IDMM-173</t>
  </si>
  <si>
    <t>SUNIL KUMAR RAM JIVAN</t>
  </si>
  <si>
    <t>IDBM-048</t>
  </si>
  <si>
    <t>MANJEET JAISAWAL</t>
  </si>
  <si>
    <t>SHARSHAD VALAPPIL</t>
  </si>
  <si>
    <t>SARATH KUMAR RAVEENDRAN PILLAI SHYLAJA</t>
  </si>
  <si>
    <t>MELVIN THOMAS</t>
  </si>
  <si>
    <t>IDMM-179</t>
  </si>
  <si>
    <t>IDMM-181</t>
  </si>
  <si>
    <t>IDMM-177</t>
  </si>
  <si>
    <t>IDMO-178</t>
  </si>
  <si>
    <t>EX-Employees</t>
  </si>
  <si>
    <t>KRISHNA GAUATAM</t>
  </si>
  <si>
    <t>MOHAMMAD USMAN</t>
  </si>
  <si>
    <t>last 5 years</t>
  </si>
  <si>
    <t>last 5 years leave taken</t>
  </si>
  <si>
    <t>working yrs</t>
  </si>
  <si>
    <r>
      <t>Nainika Girish</t>
    </r>
    <r>
      <rPr>
        <sz val="11"/>
        <rFont val="Calibri"/>
        <family val="2"/>
      </rPr>
      <t xml:space="preserve"> </t>
    </r>
  </si>
  <si>
    <t>Pavan Krishna</t>
  </si>
  <si>
    <t>Mohamed Shajahan</t>
  </si>
  <si>
    <t>Habibur Rahman</t>
  </si>
  <si>
    <t>DEVID SHARMAN</t>
  </si>
  <si>
    <t>Tayyab Akram</t>
  </si>
  <si>
    <t>Muhammad Imran</t>
  </si>
  <si>
    <r>
      <t>NAINIKA GIRISH</t>
    </r>
    <r>
      <rPr>
        <sz val="11"/>
        <rFont val="Calibri"/>
        <family val="2"/>
      </rPr>
      <t xml:space="preserve"> </t>
    </r>
  </si>
  <si>
    <t>IDML-193</t>
  </si>
  <si>
    <t>IDMD-192</t>
  </si>
  <si>
    <t>IDMM-194</t>
  </si>
  <si>
    <t>IDFM-180</t>
  </si>
  <si>
    <t>Jihad Hossan</t>
  </si>
  <si>
    <t>Jihad Hossain</t>
  </si>
  <si>
    <t>IDMO-197</t>
  </si>
  <si>
    <t>IDMM-190</t>
  </si>
  <si>
    <t>IDMM 194</t>
  </si>
  <si>
    <t>Kundan Singh</t>
  </si>
  <si>
    <t>IDMM-206</t>
  </si>
  <si>
    <t>Khem Raj Rai</t>
  </si>
  <si>
    <t>-</t>
  </si>
  <si>
    <t>Last 5 years leave will be counted in calculation</t>
  </si>
  <si>
    <t>CALCULATE LEAVE FROM
LAST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</si>
</sst>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212121"/>
      <name val="Times New Roman"/>
      <family val="1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64" fontId="10" fillId="0" borderId="0" applyFont="0" applyFill="0" applyBorder="0" applyAlignment="0" applyProtection="0"/>
  </cellStyleXfs>
  <cellXfs count="157">
    <xf numFmtId="0" fontId="0" fillId="0" borderId="0" xfId="0"/>
    <xf numFmtId="0" fontId="5" fillId="0" borderId="1" xfId="4" applyFont="1" applyBorder="1"/>
    <xf numFmtId="0" fontId="6" fillId="0" borderId="1" xfId="4" applyFont="1" applyBorder="1"/>
    <xf numFmtId="0" fontId="4" fillId="0" borderId="1" xfId="5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9" fontId="5" fillId="0" borderId="1" xfId="5" applyNumberFormat="1" applyFont="1" applyBorder="1"/>
    <xf numFmtId="0" fontId="5" fillId="0" borderId="1" xfId="5" applyFont="1" applyBorder="1"/>
    <xf numFmtId="0" fontId="6" fillId="0" borderId="1" xfId="5" applyFont="1" applyBorder="1"/>
    <xf numFmtId="0" fontId="2" fillId="0" borderId="0" xfId="5"/>
    <xf numFmtId="0" fontId="6" fillId="0" borderId="1" xfId="5" applyFont="1" applyBorder="1" applyAlignment="1">
      <alignment horizontal="center"/>
    </xf>
    <xf numFmtId="0" fontId="8" fillId="0" borderId="0" xfId="5" applyFont="1"/>
    <xf numFmtId="49" fontId="7" fillId="0" borderId="1" xfId="5" applyNumberFormat="1" applyFont="1" applyBorder="1"/>
    <xf numFmtId="0" fontId="7" fillId="0" borderId="1" xfId="4" applyFont="1" applyBorder="1"/>
    <xf numFmtId="0" fontId="3" fillId="0" borderId="1" xfId="4" applyFont="1" applyBorder="1"/>
    <xf numFmtId="0" fontId="3" fillId="0" borderId="0" xfId="5" applyFont="1" applyAlignment="1">
      <alignment horizontal="center"/>
    </xf>
    <xf numFmtId="0" fontId="6" fillId="0" borderId="0" xfId="5" applyFont="1"/>
    <xf numFmtId="49" fontId="9" fillId="0" borderId="1" xfId="5" applyNumberFormat="1" applyFont="1" applyBorder="1"/>
    <xf numFmtId="0" fontId="4" fillId="0" borderId="2" xfId="5" applyFont="1" applyBorder="1" applyAlignment="1">
      <alignment horizontal="center"/>
    </xf>
    <xf numFmtId="164" fontId="0" fillId="0" borderId="0" xfId="6" applyFont="1"/>
    <xf numFmtId="0" fontId="4" fillId="0" borderId="3" xfId="5" applyFont="1" applyBorder="1" applyAlignment="1">
      <alignment horizontal="center"/>
    </xf>
    <xf numFmtId="0" fontId="3" fillId="0" borderId="5" xfId="5" applyFont="1" applyBorder="1" applyAlignment="1">
      <alignment horizontal="center"/>
    </xf>
    <xf numFmtId="0" fontId="6" fillId="0" borderId="5" xfId="5" applyFont="1" applyBorder="1"/>
    <xf numFmtId="0" fontId="0" fillId="0" borderId="1" xfId="0" applyBorder="1"/>
    <xf numFmtId="49" fontId="6" fillId="0" borderId="1" xfId="5" applyNumberFormat="1" applyFont="1" applyBorder="1"/>
    <xf numFmtId="0" fontId="10" fillId="0" borderId="0" xfId="0" applyFont="1"/>
    <xf numFmtId="0" fontId="6" fillId="0" borderId="4" xfId="5" applyFont="1" applyBorder="1" applyAlignment="1">
      <alignment horizontal="center"/>
    </xf>
    <xf numFmtId="14" fontId="0" fillId="0" borderId="1" xfId="0" applyNumberFormat="1" applyBorder="1"/>
    <xf numFmtId="0" fontId="3" fillId="0" borderId="2" xfId="5" applyFont="1" applyBorder="1" applyAlignment="1">
      <alignment horizontal="center"/>
    </xf>
    <xf numFmtId="164" fontId="0" fillId="0" borderId="1" xfId="6" applyFont="1" applyBorder="1"/>
    <xf numFmtId="164" fontId="0" fillId="0" borderId="1" xfId="0" applyNumberFormat="1" applyBorder="1"/>
    <xf numFmtId="14" fontId="0" fillId="0" borderId="0" xfId="0" applyNumberFormat="1"/>
    <xf numFmtId="49" fontId="5" fillId="2" borderId="1" xfId="5" applyNumberFormat="1" applyFont="1" applyFill="1" applyBorder="1"/>
    <xf numFmtId="17" fontId="6" fillId="0" borderId="1" xfId="4" applyNumberFormat="1" applyFont="1" applyBorder="1"/>
    <xf numFmtId="17" fontId="0" fillId="0" borderId="1" xfId="0" applyNumberFormat="1" applyBorder="1"/>
    <xf numFmtId="17" fontId="6" fillId="0" borderId="1" xfId="5" applyNumberFormat="1" applyFont="1" applyBorder="1"/>
    <xf numFmtId="17" fontId="4" fillId="0" borderId="1" xfId="4" applyNumberFormat="1" applyFont="1" applyBorder="1"/>
    <xf numFmtId="0" fontId="13" fillId="0" borderId="1" xfId="0" applyFont="1" applyBorder="1"/>
    <xf numFmtId="0" fontId="11" fillId="0" borderId="0" xfId="0" applyFont="1"/>
    <xf numFmtId="0" fontId="7" fillId="0" borderId="1" xfId="5" applyFont="1" applyBorder="1"/>
    <xf numFmtId="0" fontId="3" fillId="0" borderId="6" xfId="5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/>
    <xf numFmtId="0" fontId="6" fillId="0" borderId="0" xfId="5" applyFont="1" applyAlignment="1">
      <alignment horizontal="center"/>
    </xf>
    <xf numFmtId="0" fontId="13" fillId="0" borderId="1" xfId="5" applyFont="1" applyBorder="1"/>
    <xf numFmtId="17" fontId="12" fillId="0" borderId="1" xfId="0" applyNumberFormat="1" applyFont="1" applyBorder="1" applyAlignment="1">
      <alignment horizontal="center"/>
    </xf>
    <xf numFmtId="17" fontId="5" fillId="0" borderId="1" xfId="4" applyNumberFormat="1" applyFont="1" applyBorder="1"/>
    <xf numFmtId="17" fontId="10" fillId="0" borderId="0" xfId="0" applyNumberFormat="1" applyFont="1"/>
    <xf numFmtId="0" fontId="0" fillId="2" borderId="0" xfId="0" applyFill="1" applyAlignment="1">
      <alignment horizontal="center"/>
    </xf>
    <xf numFmtId="0" fontId="5" fillId="0" borderId="1" xfId="5" applyFont="1" applyBorder="1" applyAlignment="1">
      <alignment horizontal="center"/>
    </xf>
    <xf numFmtId="0" fontId="1" fillId="0" borderId="0" xfId="0" applyFont="1"/>
    <xf numFmtId="0" fontId="8" fillId="0" borderId="0" xfId="0" applyFont="1"/>
    <xf numFmtId="0" fontId="11" fillId="0" borderId="1" xfId="0" applyFont="1" applyBorder="1"/>
    <xf numFmtId="17" fontId="5" fillId="0" borderId="1" xfId="5" applyNumberFormat="1" applyFont="1" applyBorder="1"/>
    <xf numFmtId="17" fontId="15" fillId="0" borderId="1" xfId="0" applyNumberFormat="1" applyFont="1" applyBorder="1"/>
    <xf numFmtId="0" fontId="8" fillId="0" borderId="1" xfId="5" applyFont="1" applyBorder="1"/>
    <xf numFmtId="17" fontId="8" fillId="0" borderId="1" xfId="5" applyNumberFormat="1" applyFont="1" applyBorder="1"/>
    <xf numFmtId="0" fontId="1" fillId="0" borderId="1" xfId="0" applyFont="1" applyBorder="1"/>
    <xf numFmtId="49" fontId="5" fillId="0" borderId="1" xfId="0" applyNumberFormat="1" applyFont="1" applyBorder="1"/>
    <xf numFmtId="0" fontId="0" fillId="0" borderId="1" xfId="0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1" applyFont="1" applyBorder="1"/>
    <xf numFmtId="16" fontId="0" fillId="0" borderId="1" xfId="0" applyNumberFormat="1" applyBorder="1"/>
    <xf numFmtId="0" fontId="17" fillId="0" borderId="1" xfId="0" applyFont="1" applyBorder="1"/>
    <xf numFmtId="0" fontId="10" fillId="0" borderId="1" xfId="0" applyFont="1" applyBorder="1"/>
    <xf numFmtId="0" fontId="18" fillId="0" borderId="0" xfId="0" applyFont="1"/>
    <xf numFmtId="17" fontId="6" fillId="0" borderId="0" xfId="4" applyNumberFormat="1" applyFont="1"/>
    <xf numFmtId="0" fontId="5" fillId="0" borderId="1" xfId="5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3" borderId="1" xfId="5" applyFont="1" applyFill="1" applyBorder="1" applyAlignment="1">
      <alignment horizontal="center" vertical="center"/>
    </xf>
    <xf numFmtId="0" fontId="6" fillId="3" borderId="1" xfId="5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6" fillId="3" borderId="1" xfId="5" applyFont="1" applyFill="1" applyBorder="1" applyAlignment="1">
      <alignment horizontal="left" vertical="center"/>
    </xf>
    <xf numFmtId="17" fontId="6" fillId="0" borderId="1" xfId="4" applyNumberFormat="1" applyFont="1" applyBorder="1" applyAlignment="1">
      <alignment horizontal="left"/>
    </xf>
    <xf numFmtId="17" fontId="6" fillId="0" borderId="1" xfId="5" applyNumberFormat="1" applyFont="1" applyBorder="1" applyAlignment="1">
      <alignment horizontal="left"/>
    </xf>
    <xf numFmtId="17" fontId="12" fillId="0" borderId="1" xfId="0" applyNumberFormat="1" applyFont="1" applyBorder="1" applyAlignment="1">
      <alignment horizontal="left"/>
    </xf>
    <xf numFmtId="17" fontId="4" fillId="0" borderId="1" xfId="4" applyNumberFormat="1" applyFont="1" applyBorder="1" applyAlignment="1">
      <alignment horizontal="left"/>
    </xf>
    <xf numFmtId="17" fontId="19" fillId="0" borderId="1" xfId="5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17" fillId="0" borderId="1" xfId="0" applyNumberFormat="1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17" fontId="6" fillId="0" borderId="1" xfId="4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4" fillId="3" borderId="1" xfId="5" applyFont="1" applyFill="1" applyBorder="1" applyAlignment="1">
      <alignment horizontal="left" vertical="center"/>
    </xf>
    <xf numFmtId="0" fontId="20" fillId="0" borderId="1" xfId="4" applyFont="1" applyBorder="1" applyAlignment="1">
      <alignment horizontal="left"/>
    </xf>
    <xf numFmtId="0" fontId="10" fillId="0" borderId="0" xfId="0" applyFont="1" applyAlignment="1">
      <alignment horizontal="left"/>
    </xf>
    <xf numFmtId="0" fontId="9" fillId="0" borderId="7" xfId="5" applyFont="1" applyBorder="1" applyAlignment="1">
      <alignment horizontal="left"/>
    </xf>
    <xf numFmtId="17" fontId="0" fillId="0" borderId="0" xfId="0" applyNumberFormat="1" applyAlignment="1">
      <alignment horizontal="left"/>
    </xf>
    <xf numFmtId="0" fontId="5" fillId="0" borderId="1" xfId="5" applyFont="1" applyBorder="1" applyAlignment="1">
      <alignment horizontal="left"/>
    </xf>
    <xf numFmtId="165" fontId="0" fillId="0" borderId="1" xfId="6" applyNumberFormat="1" applyFont="1" applyBorder="1" applyAlignment="1">
      <alignment horizontal="left"/>
    </xf>
    <xf numFmtId="165" fontId="0" fillId="2" borderId="1" xfId="6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64" fontId="0" fillId="2" borderId="1" xfId="6" applyFont="1" applyFill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1" xfId="6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164" fontId="12" fillId="0" borderId="1" xfId="6" applyFont="1" applyBorder="1" applyAlignment="1">
      <alignment horizontal="left"/>
    </xf>
    <xf numFmtId="164" fontId="0" fillId="0" borderId="1" xfId="6" applyFont="1" applyFill="1" applyBorder="1" applyAlignment="1">
      <alignment horizontal="left"/>
    </xf>
    <xf numFmtId="164" fontId="12" fillId="0" borderId="1" xfId="6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8" fillId="0" borderId="1" xfId="1" applyFont="1" applyBorder="1" applyAlignment="1">
      <alignment horizontal="left"/>
    </xf>
    <xf numFmtId="17" fontId="0" fillId="0" borderId="1" xfId="0" applyNumberFormat="1" applyBorder="1" applyAlignment="1">
      <alignment horizontal="left"/>
    </xf>
    <xf numFmtId="0" fontId="15" fillId="0" borderId="1" xfId="0" applyFont="1" applyBorder="1" applyAlignment="1">
      <alignment horizontal="left"/>
    </xf>
    <xf numFmtId="17" fontId="10" fillId="0" borderId="1" xfId="0" applyNumberFormat="1" applyFont="1" applyBorder="1" applyAlignment="1">
      <alignment horizontal="left"/>
    </xf>
    <xf numFmtId="0" fontId="12" fillId="3" borderId="1" xfId="0" applyFont="1" applyFill="1" applyBorder="1" applyAlignment="1">
      <alignment horizontal="left" vertical="center"/>
    </xf>
    <xf numFmtId="16" fontId="0" fillId="0" borderId="1" xfId="0" applyNumberFormat="1" applyBorder="1" applyAlignment="1">
      <alignment horizontal="left"/>
    </xf>
    <xf numFmtId="1" fontId="17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6" fillId="3" borderId="1" xfId="5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" fontId="6" fillId="0" borderId="1" xfId="4" applyNumberFormat="1" applyFont="1" applyBorder="1" applyAlignment="1">
      <alignment horizontal="center"/>
    </xf>
    <xf numFmtId="17" fontId="6" fillId="0" borderId="1" xfId="4" applyNumberFormat="1" applyFont="1" applyBorder="1" applyAlignment="1">
      <alignment horizontal="center" vertical="center"/>
    </xf>
    <xf numFmtId="17" fontId="6" fillId="0" borderId="1" xfId="5" applyNumberFormat="1" applyFont="1" applyBorder="1" applyAlignment="1">
      <alignment horizontal="center"/>
    </xf>
    <xf numFmtId="17" fontId="4" fillId="0" borderId="1" xfId="4" applyNumberFormat="1" applyFont="1" applyBorder="1" applyAlignment="1">
      <alignment horizontal="center"/>
    </xf>
    <xf numFmtId="17" fontId="19" fillId="0" borderId="1" xfId="5" applyNumberFormat="1" applyFont="1" applyBorder="1" applyAlignment="1">
      <alignment horizontal="center"/>
    </xf>
    <xf numFmtId="0" fontId="22" fillId="4" borderId="0" xfId="0" applyFont="1" applyFill="1" applyAlignment="1">
      <alignment horizontal="center"/>
    </xf>
    <xf numFmtId="164" fontId="17" fillId="0" borderId="1" xfId="0" applyNumberFormat="1" applyFont="1" applyBorder="1" applyAlignment="1">
      <alignment horizontal="left"/>
    </xf>
    <xf numFmtId="165" fontId="11" fillId="0" borderId="1" xfId="6" applyNumberFormat="1" applyFont="1" applyBorder="1" applyAlignment="1">
      <alignment horizontal="left"/>
    </xf>
    <xf numFmtId="0" fontId="3" fillId="0" borderId="0" xfId="5" applyFont="1" applyAlignment="1">
      <alignment horizontal="left"/>
    </xf>
    <xf numFmtId="0" fontId="17" fillId="0" borderId="1" xfId="4" applyFont="1" applyBorder="1" applyAlignment="1">
      <alignment horizontal="left"/>
    </xf>
    <xf numFmtId="17" fontId="5" fillId="0" borderId="1" xfId="4" applyNumberFormat="1" applyFont="1" applyBorder="1" applyAlignment="1">
      <alignment horizontal="left"/>
    </xf>
    <xf numFmtId="0" fontId="9" fillId="0" borderId="1" xfId="5" applyFont="1" applyBorder="1" applyAlignment="1">
      <alignment horizontal="left"/>
    </xf>
    <xf numFmtId="0" fontId="9" fillId="0" borderId="1" xfId="5" applyFont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center"/>
    </xf>
    <xf numFmtId="0" fontId="9" fillId="0" borderId="0" xfId="5" applyFont="1" applyAlignment="1">
      <alignment horizontal="left"/>
    </xf>
    <xf numFmtId="0" fontId="12" fillId="0" borderId="1" xfId="0" applyFont="1" applyBorder="1" applyAlignment="1">
      <alignment horizontal="left"/>
    </xf>
    <xf numFmtId="17" fontId="9" fillId="0" borderId="1" xfId="5" applyNumberFormat="1" applyFont="1" applyBorder="1" applyAlignment="1">
      <alignment horizontal="left"/>
    </xf>
    <xf numFmtId="165" fontId="11" fillId="0" borderId="1" xfId="6" applyNumberFormat="1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2" fillId="3" borderId="1" xfId="0" applyFont="1" applyFill="1" applyBorder="1" applyAlignment="1">
      <alignment horizontal="center" vertical="center"/>
    </xf>
    <xf numFmtId="17" fontId="16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2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5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9" fillId="2" borderId="7" xfId="5" applyFont="1" applyFill="1" applyBorder="1" applyAlignment="1">
      <alignment horizontal="left"/>
    </xf>
    <xf numFmtId="0" fontId="9" fillId="0" borderId="7" xfId="5" applyFont="1" applyBorder="1" applyAlignment="1"/>
    <xf numFmtId="0" fontId="9" fillId="0" borderId="0" xfId="5" applyFont="1" applyAlignment="1"/>
  </cellXfs>
  <cellStyles count="7">
    <cellStyle name="Comma" xfId="6" builtinId="3"/>
    <cellStyle name="Comma 2" xfId="3" xr:uid="{00000000-0005-0000-0000-000001000000}"/>
    <cellStyle name="Comma 3" xfId="2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4" xfId="1" xr:uid="{00000000-0005-0000-0000-000006000000}"/>
  </cellStyles>
  <dxfs count="4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4"/>
  <sheetViews>
    <sheetView tabSelected="1" zoomScaleNormal="100" workbookViewId="0">
      <pane xSplit="16" ySplit="18" topLeftCell="Q26" activePane="bottomRight" state="frozen"/>
      <selection pane="topRight" activeCell="S1" sqref="S1"/>
      <selection pane="bottomLeft" activeCell="A18" sqref="A18"/>
      <selection pane="bottomRight" activeCell="F13" sqref="F13"/>
    </sheetView>
  </sheetViews>
  <sheetFormatPr defaultRowHeight="15" x14ac:dyDescent="0.25"/>
  <cols>
    <col min="1" max="1" width="5.42578125" style="82" bestFit="1" customWidth="1"/>
    <col min="2" max="2" width="10.85546875" style="88" bestFit="1" customWidth="1"/>
    <col min="3" max="3" width="83" style="88" bestFit="1" customWidth="1"/>
    <col min="4" max="4" width="13.42578125" style="88" customWidth="1"/>
    <col min="5" max="5" width="23.7109375" style="88" customWidth="1"/>
    <col min="6" max="6" width="12" style="88" bestFit="1" customWidth="1"/>
    <col min="7" max="8" width="8" style="88" bestFit="1" customWidth="1"/>
    <col min="9" max="12" width="7" style="88" bestFit="1" customWidth="1"/>
    <col min="13" max="13" width="5" style="88" bestFit="1" customWidth="1"/>
    <col min="14" max="15" width="7" style="88" bestFit="1" customWidth="1"/>
    <col min="16" max="18" width="8" style="88" bestFit="1" customWidth="1"/>
    <col min="19" max="19" width="7" style="88" bestFit="1" customWidth="1"/>
    <col min="20" max="21" width="8" style="88" bestFit="1" customWidth="1"/>
    <col min="22" max="22" width="7" style="88" bestFit="1" customWidth="1"/>
    <col min="23" max="23" width="10.42578125" style="88" bestFit="1" customWidth="1"/>
    <col min="24" max="24" width="7" style="88" bestFit="1" customWidth="1"/>
    <col min="25" max="25" width="10" style="88" bestFit="1" customWidth="1"/>
    <col min="26" max="26" width="5.5703125" style="88" bestFit="1" customWidth="1"/>
    <col min="27" max="27" width="6" style="88" bestFit="1" customWidth="1"/>
    <col min="28" max="28" width="10.5703125" style="88" bestFit="1" customWidth="1"/>
    <col min="29" max="29" width="10.7109375" style="88" bestFit="1" customWidth="1"/>
    <col min="30" max="30" width="15.7109375" customWidth="1"/>
    <col min="31" max="31" width="11.5703125" customWidth="1"/>
    <col min="32" max="32" width="10" customWidth="1"/>
    <col min="33" max="33" width="9.5703125" customWidth="1"/>
    <col min="35" max="35" width="9" customWidth="1"/>
    <col min="36" max="36" width="8.42578125" customWidth="1"/>
    <col min="37" max="37" width="8.140625" customWidth="1"/>
  </cols>
  <sheetData>
    <row r="1" spans="1:30" ht="18.75" customHeight="1" x14ac:dyDescent="0.25">
      <c r="A1" s="19"/>
      <c r="B1" s="132"/>
      <c r="C1" s="132"/>
      <c r="D1" s="155" t="s">
        <v>601</v>
      </c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6"/>
      <c r="P1" s="156"/>
      <c r="Q1" s="156"/>
      <c r="R1" s="156"/>
      <c r="S1" s="156"/>
      <c r="T1" s="156"/>
      <c r="U1" s="156"/>
      <c r="V1" s="156"/>
      <c r="W1" s="156"/>
      <c r="X1" s="156"/>
      <c r="AB1" s="94"/>
    </row>
    <row r="2" spans="1:30" ht="18.75" customHeight="1" x14ac:dyDescent="0.25">
      <c r="A2" s="19"/>
      <c r="B2" s="132"/>
      <c r="C2" s="132"/>
      <c r="D2" s="154" t="s">
        <v>712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139"/>
      <c r="P2" s="139"/>
      <c r="Q2" s="139"/>
      <c r="R2" s="139"/>
      <c r="S2" s="139"/>
      <c r="T2" s="139"/>
      <c r="U2" s="139"/>
      <c r="V2" s="139"/>
      <c r="W2" s="139"/>
      <c r="X2" s="139"/>
      <c r="AB2" s="94"/>
    </row>
    <row r="3" spans="1:30" s="123" customFormat="1" ht="34.5" customHeight="1" x14ac:dyDescent="0.25">
      <c r="A3" s="70" t="s">
        <v>130</v>
      </c>
      <c r="B3" s="70" t="s">
        <v>352</v>
      </c>
      <c r="C3" s="71" t="s">
        <v>126</v>
      </c>
      <c r="D3" s="73" t="s">
        <v>131</v>
      </c>
      <c r="E3" s="122" t="s">
        <v>713</v>
      </c>
      <c r="F3" s="80">
        <v>2010</v>
      </c>
      <c r="G3" s="80">
        <v>2011</v>
      </c>
      <c r="H3" s="80">
        <v>2012</v>
      </c>
      <c r="I3" s="80">
        <v>2013</v>
      </c>
      <c r="J3" s="80">
        <v>2014</v>
      </c>
      <c r="K3" s="80">
        <v>2015</v>
      </c>
      <c r="L3" s="80">
        <v>2016</v>
      </c>
      <c r="M3" s="80">
        <v>2017</v>
      </c>
      <c r="N3" s="80">
        <v>2018</v>
      </c>
      <c r="O3" s="80">
        <v>2019</v>
      </c>
      <c r="P3" s="80">
        <v>2020</v>
      </c>
      <c r="Q3" s="80">
        <v>2021</v>
      </c>
      <c r="R3" s="80">
        <v>2022</v>
      </c>
      <c r="S3" s="80">
        <v>2023</v>
      </c>
      <c r="T3" s="80">
        <v>2024</v>
      </c>
      <c r="U3" s="80">
        <v>2025</v>
      </c>
      <c r="V3" s="80">
        <v>2026</v>
      </c>
      <c r="W3" s="122" t="s">
        <v>689</v>
      </c>
      <c r="X3" s="80" t="s">
        <v>160</v>
      </c>
      <c r="Y3" s="122" t="s">
        <v>252</v>
      </c>
      <c r="Z3" s="122" t="s">
        <v>688</v>
      </c>
      <c r="AA3" s="122" t="s">
        <v>219</v>
      </c>
      <c r="AB3" s="122" t="s">
        <v>690</v>
      </c>
      <c r="AC3" s="80" t="s">
        <v>230</v>
      </c>
    </row>
    <row r="4" spans="1:30" x14ac:dyDescent="0.25">
      <c r="A4" s="4">
        <v>1</v>
      </c>
      <c r="B4" s="133" t="s">
        <v>480</v>
      </c>
      <c r="C4" s="133" t="s">
        <v>490</v>
      </c>
      <c r="D4" s="134">
        <v>39295</v>
      </c>
      <c r="E4" s="134">
        <v>44197</v>
      </c>
      <c r="F4" s="96">
        <v>9</v>
      </c>
      <c r="G4" s="97">
        <v>20</v>
      </c>
      <c r="H4" s="98">
        <v>12</v>
      </c>
      <c r="I4" s="98">
        <f>'2013'!I3</f>
        <v>21</v>
      </c>
      <c r="J4" s="58">
        <f>'2014'!I3</f>
        <v>26</v>
      </c>
      <c r="K4" s="99">
        <f>'2015'!L4</f>
        <v>14</v>
      </c>
      <c r="L4" s="100">
        <f>'2016'!M4</f>
        <v>33</v>
      </c>
      <c r="M4" s="135"/>
      <c r="N4" s="101">
        <f>'2018'!M2</f>
        <v>21</v>
      </c>
      <c r="O4" s="100">
        <f>'2019'!M2</f>
        <v>26</v>
      </c>
      <c r="P4" s="101">
        <v>0</v>
      </c>
      <c r="Q4" s="100">
        <v>21</v>
      </c>
      <c r="R4" s="100">
        <v>10</v>
      </c>
      <c r="S4" s="100">
        <v>36</v>
      </c>
      <c r="T4" s="101">
        <v>0</v>
      </c>
      <c r="U4" s="100">
        <f>'2025'!M2</f>
        <v>26</v>
      </c>
      <c r="V4" s="101">
        <f>'2026'!M2</f>
        <v>2</v>
      </c>
      <c r="W4" s="101">
        <f>SUM(P4:V4)</f>
        <v>95</v>
      </c>
      <c r="X4" s="101">
        <f>W4/5</f>
        <v>19</v>
      </c>
      <c r="Y4" s="101">
        <f>SUM(30-X4)*AA4</f>
        <v>55.93424657534247</v>
      </c>
      <c r="Z4" s="58">
        <f t="shared" ref="Z4:Z9" si="0">AC4-E4</f>
        <v>1856</v>
      </c>
      <c r="AA4" s="101">
        <f>Z4/365</f>
        <v>5.0849315068493155</v>
      </c>
      <c r="AB4" s="102">
        <f t="shared" ref="AB4:AB9" si="1">SUM(AC4-D4)/365</f>
        <v>18.515068493150686</v>
      </c>
      <c r="AC4" s="103">
        <v>46053</v>
      </c>
    </row>
    <row r="5" spans="1:30" ht="15.75" customHeight="1" x14ac:dyDescent="0.25">
      <c r="A5" s="4">
        <v>2</v>
      </c>
      <c r="B5" s="133" t="s">
        <v>353</v>
      </c>
      <c r="C5" s="133" t="s">
        <v>491</v>
      </c>
      <c r="D5" s="134">
        <v>41883</v>
      </c>
      <c r="E5" s="134">
        <v>44197</v>
      </c>
      <c r="F5" s="143" t="s">
        <v>218</v>
      </c>
      <c r="G5" s="143"/>
      <c r="H5" s="143"/>
      <c r="I5" s="143"/>
      <c r="J5" s="143"/>
      <c r="K5" s="102">
        <f>'2015'!L5</f>
        <v>0</v>
      </c>
      <c r="L5" s="100">
        <f>'2016'!M6</f>
        <v>23</v>
      </c>
      <c r="M5" s="135"/>
      <c r="N5" s="101">
        <f>'2018'!M3</f>
        <v>0</v>
      </c>
      <c r="O5" s="100">
        <f>'2019'!M3</f>
        <v>28</v>
      </c>
      <c r="P5" s="100">
        <v>37</v>
      </c>
      <c r="Q5" s="100">
        <v>31</v>
      </c>
      <c r="R5" s="100">
        <v>22</v>
      </c>
      <c r="S5" s="101">
        <v>21</v>
      </c>
      <c r="T5" s="100">
        <v>24</v>
      </c>
      <c r="U5" s="100">
        <f>'2025'!M3</f>
        <v>24</v>
      </c>
      <c r="V5" s="100">
        <f>'2026'!M3</f>
        <v>14</v>
      </c>
      <c r="W5" s="101">
        <f>SUM(P5:V5)</f>
        <v>173</v>
      </c>
      <c r="X5" s="101">
        <f t="shared" ref="X5:X105" si="2">W5/5</f>
        <v>34.6</v>
      </c>
      <c r="Y5" s="101">
        <f t="shared" ref="Y5:Y106" si="3">SUM(30-X5)*AA5</f>
        <v>-23.390684931506858</v>
      </c>
      <c r="Z5" s="58">
        <f t="shared" si="0"/>
        <v>1856</v>
      </c>
      <c r="AA5" s="101">
        <f t="shared" ref="AA5:AA106" si="4">Z5/365</f>
        <v>5.0849315068493155</v>
      </c>
      <c r="AB5" s="102">
        <f t="shared" si="1"/>
        <v>11.424657534246576</v>
      </c>
      <c r="AC5" s="103">
        <v>46053</v>
      </c>
      <c r="AD5" s="66"/>
    </row>
    <row r="6" spans="1:30" x14ac:dyDescent="0.25">
      <c r="A6" s="4">
        <v>3</v>
      </c>
      <c r="B6" s="133" t="s">
        <v>354</v>
      </c>
      <c r="C6" s="133" t="s">
        <v>492</v>
      </c>
      <c r="D6" s="134">
        <v>42740</v>
      </c>
      <c r="E6" s="134">
        <v>44197</v>
      </c>
      <c r="F6" s="142" t="s">
        <v>279</v>
      </c>
      <c r="G6" s="142"/>
      <c r="H6" s="142"/>
      <c r="I6" s="142"/>
      <c r="J6" s="142"/>
      <c r="K6" s="142"/>
      <c r="L6" s="142"/>
      <c r="M6" s="135"/>
      <c r="N6" s="101">
        <f>'2018'!M7</f>
        <v>21</v>
      </c>
      <c r="O6" s="100">
        <f>'2019'!M6</f>
        <v>41</v>
      </c>
      <c r="P6" s="101">
        <v>14</v>
      </c>
      <c r="Q6" s="100">
        <v>104</v>
      </c>
      <c r="R6" s="101">
        <v>0</v>
      </c>
      <c r="S6" s="101">
        <v>0</v>
      </c>
      <c r="T6" s="101">
        <v>0</v>
      </c>
      <c r="U6" s="100">
        <f>'2025'!M4</f>
        <v>10</v>
      </c>
      <c r="V6" s="101"/>
      <c r="W6" s="101">
        <f>SUM(P6:U6)</f>
        <v>128</v>
      </c>
      <c r="X6" s="101">
        <f t="shared" si="2"/>
        <v>25.6</v>
      </c>
      <c r="Y6" s="101">
        <f t="shared" si="3"/>
        <v>22.687123287671227</v>
      </c>
      <c r="Z6" s="58">
        <f t="shared" si="0"/>
        <v>1882</v>
      </c>
      <c r="AA6" s="101">
        <f t="shared" si="4"/>
        <v>5.1561643835616442</v>
      </c>
      <c r="AB6" s="102">
        <f t="shared" si="1"/>
        <v>9.1479452054794521</v>
      </c>
      <c r="AC6" s="103">
        <v>46079</v>
      </c>
    </row>
    <row r="7" spans="1:30" x14ac:dyDescent="0.25">
      <c r="A7" s="4">
        <v>4</v>
      </c>
      <c r="B7" s="133" t="s">
        <v>476</v>
      </c>
      <c r="C7" s="133" t="s">
        <v>350</v>
      </c>
      <c r="D7" s="134">
        <v>44762</v>
      </c>
      <c r="E7" s="134">
        <v>44869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101">
        <v>0</v>
      </c>
      <c r="R7" s="101">
        <v>0</v>
      </c>
      <c r="S7" s="101">
        <v>0</v>
      </c>
      <c r="T7" s="100">
        <v>52</v>
      </c>
      <c r="U7" s="138">
        <f>'2025'!M5</f>
        <v>6</v>
      </c>
      <c r="V7" s="101">
        <f>'2026'!M5</f>
        <v>30</v>
      </c>
      <c r="W7" s="101">
        <f>SUM(P7:V7)</f>
        <v>88</v>
      </c>
      <c r="X7" s="101">
        <f>W7/5</f>
        <v>17.600000000000001</v>
      </c>
      <c r="Y7" s="101">
        <f>SUM(30-X7)*AA7</f>
        <v>40.223561643835609</v>
      </c>
      <c r="Z7" s="58">
        <f t="shared" si="0"/>
        <v>1184</v>
      </c>
      <c r="AA7" s="101">
        <f>Z7/365</f>
        <v>3.2438356164383562</v>
      </c>
      <c r="AB7" s="102">
        <f t="shared" si="1"/>
        <v>3.536986301369863</v>
      </c>
      <c r="AC7" s="103">
        <v>46053</v>
      </c>
    </row>
    <row r="8" spans="1:30" x14ac:dyDescent="0.25">
      <c r="A8" s="4">
        <v>5</v>
      </c>
      <c r="B8" s="133" t="s">
        <v>482</v>
      </c>
      <c r="C8" s="133" t="s">
        <v>481</v>
      </c>
      <c r="D8" s="134">
        <v>44866</v>
      </c>
      <c r="E8" s="134">
        <v>44932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101">
        <v>0</v>
      </c>
      <c r="R8" s="101">
        <v>0</v>
      </c>
      <c r="S8" s="101">
        <v>0</v>
      </c>
      <c r="T8" s="101">
        <v>14</v>
      </c>
      <c r="U8" s="138">
        <f>'2025'!M142</f>
        <v>0</v>
      </c>
      <c r="V8" s="101"/>
      <c r="W8" s="101">
        <f t="shared" ref="W4:W8" si="5">SUM(P8:T8)</f>
        <v>14</v>
      </c>
      <c r="X8" s="101">
        <f>W8/5</f>
        <v>2.8</v>
      </c>
      <c r="Y8" s="101">
        <f>SUM(30-X8)*AA8</f>
        <v>83.537534246575333</v>
      </c>
      <c r="Z8" s="58">
        <f t="shared" si="0"/>
        <v>1121</v>
      </c>
      <c r="AA8" s="101">
        <f>Z8/365</f>
        <v>3.0712328767123287</v>
      </c>
      <c r="AB8" s="102">
        <f t="shared" si="1"/>
        <v>3.2520547945205478</v>
      </c>
      <c r="AC8" s="103">
        <v>46053</v>
      </c>
    </row>
    <row r="9" spans="1:30" x14ac:dyDescent="0.25">
      <c r="A9" s="4">
        <v>6</v>
      </c>
      <c r="B9" s="133" t="s">
        <v>608</v>
      </c>
      <c r="C9" s="133" t="s">
        <v>603</v>
      </c>
      <c r="D9" s="134">
        <v>44900</v>
      </c>
      <c r="E9" s="134">
        <v>44972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101"/>
      <c r="R9" s="101">
        <v>0</v>
      </c>
      <c r="S9" s="101">
        <v>0</v>
      </c>
      <c r="T9" s="101">
        <v>14</v>
      </c>
      <c r="U9" s="138">
        <f>'2025'!M143</f>
        <v>0</v>
      </c>
      <c r="V9" s="101"/>
      <c r="W9" s="101">
        <f>SUM(P9:V9)</f>
        <v>14</v>
      </c>
      <c r="X9" s="101">
        <f>W9/5</f>
        <v>2.8</v>
      </c>
      <c r="Y9" s="101">
        <f>SUM(30-X9)*AA9</f>
        <v>80.556712328767119</v>
      </c>
      <c r="Z9" s="58">
        <f t="shared" si="0"/>
        <v>1081</v>
      </c>
      <c r="AA9" s="101">
        <f>Z9/365</f>
        <v>2.9616438356164383</v>
      </c>
      <c r="AB9" s="102">
        <f t="shared" si="1"/>
        <v>3.1589041095890411</v>
      </c>
      <c r="AC9" s="103">
        <v>46053</v>
      </c>
    </row>
    <row r="10" spans="1:30" x14ac:dyDescent="0.25">
      <c r="A10" s="4">
        <v>7</v>
      </c>
      <c r="B10" s="133" t="s">
        <v>705</v>
      </c>
      <c r="C10" s="133" t="s">
        <v>698</v>
      </c>
      <c r="D10" s="134">
        <v>45658</v>
      </c>
      <c r="E10" s="134">
        <v>45658</v>
      </c>
      <c r="F10" s="131"/>
      <c r="G10" s="131"/>
      <c r="H10" s="131"/>
      <c r="I10" s="131"/>
      <c r="J10" s="131"/>
      <c r="K10" s="131"/>
      <c r="L10" s="131"/>
      <c r="M10" s="135"/>
      <c r="N10" s="101"/>
      <c r="O10" s="100"/>
      <c r="P10" s="101"/>
      <c r="Q10" s="100"/>
      <c r="R10" s="101"/>
      <c r="S10" s="101"/>
      <c r="T10" s="101"/>
      <c r="U10" s="138">
        <f>'2025'!M6</f>
        <v>0</v>
      </c>
      <c r="V10" s="101"/>
      <c r="W10" s="101">
        <f t="shared" ref="W10:W13" si="6">SUM(P10:V10)</f>
        <v>0</v>
      </c>
      <c r="X10" s="101"/>
      <c r="Y10" s="101"/>
      <c r="Z10" s="58"/>
      <c r="AA10" s="101"/>
      <c r="AB10" s="102"/>
      <c r="AC10" s="103">
        <v>46053</v>
      </c>
    </row>
    <row r="11" spans="1:30" x14ac:dyDescent="0.25">
      <c r="A11" s="4">
        <v>8</v>
      </c>
      <c r="B11" s="133" t="s">
        <v>641</v>
      </c>
      <c r="C11" s="133" t="s">
        <v>636</v>
      </c>
      <c r="D11" s="115">
        <v>45114</v>
      </c>
      <c r="E11" s="115">
        <v>45114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101">
        <v>0</v>
      </c>
      <c r="R11" s="101">
        <v>0</v>
      </c>
      <c r="S11" s="101">
        <v>0</v>
      </c>
      <c r="T11" s="101">
        <v>0</v>
      </c>
      <c r="U11" s="138">
        <f>'2025'!M149</f>
        <v>0</v>
      </c>
      <c r="V11" s="101"/>
      <c r="W11" s="101">
        <f t="shared" si="6"/>
        <v>0</v>
      </c>
      <c r="X11" s="101">
        <f>W11/5</f>
        <v>0</v>
      </c>
      <c r="Y11" s="101">
        <f>SUM(30-X11)*AA11</f>
        <v>77.178082191780817</v>
      </c>
      <c r="Z11" s="58">
        <f t="shared" ref="Z11:Z42" si="7">AC11-E11</f>
        <v>939</v>
      </c>
      <c r="AA11" s="101">
        <f>Z11/365</f>
        <v>2.5726027397260274</v>
      </c>
      <c r="AB11" s="102">
        <f t="shared" ref="AB11:AB47" si="8">SUM(AC11-D11)/365</f>
        <v>2.5726027397260274</v>
      </c>
      <c r="AC11" s="103">
        <v>46053</v>
      </c>
    </row>
    <row r="12" spans="1:30" x14ac:dyDescent="0.25">
      <c r="A12" s="4">
        <v>9</v>
      </c>
      <c r="B12" s="133" t="s">
        <v>666</v>
      </c>
      <c r="C12" s="133" t="s">
        <v>653</v>
      </c>
      <c r="D12" s="115">
        <v>45301</v>
      </c>
      <c r="E12" s="115">
        <v>45301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101">
        <v>0</v>
      </c>
      <c r="R12" s="101">
        <v>0</v>
      </c>
      <c r="S12" s="101">
        <v>0</v>
      </c>
      <c r="T12" s="101">
        <v>0</v>
      </c>
      <c r="U12" s="101">
        <f>'2025'!M7</f>
        <v>28</v>
      </c>
      <c r="V12" s="101"/>
      <c r="W12" s="101">
        <f t="shared" si="6"/>
        <v>28</v>
      </c>
      <c r="X12" s="101">
        <f>W12/5</f>
        <v>5.6</v>
      </c>
      <c r="Y12" s="101">
        <f>SUM(30-X12)*AA12</f>
        <v>50.270684931506842</v>
      </c>
      <c r="Z12" s="58">
        <f t="shared" si="7"/>
        <v>752</v>
      </c>
      <c r="AA12" s="101">
        <f>Z12/365</f>
        <v>2.0602739726027397</v>
      </c>
      <c r="AB12" s="102">
        <f t="shared" si="8"/>
        <v>2.0602739726027397</v>
      </c>
      <c r="AC12" s="103">
        <v>46053</v>
      </c>
    </row>
    <row r="13" spans="1:30" x14ac:dyDescent="0.25">
      <c r="A13" s="4">
        <v>10</v>
      </c>
      <c r="B13" s="133" t="s">
        <v>684</v>
      </c>
      <c r="C13" s="133" t="s">
        <v>680</v>
      </c>
      <c r="D13" s="115">
        <v>45432</v>
      </c>
      <c r="E13" s="115">
        <v>45458</v>
      </c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101">
        <v>0</v>
      </c>
      <c r="R13" s="101">
        <v>0</v>
      </c>
      <c r="S13" s="101">
        <v>0</v>
      </c>
      <c r="T13" s="138" t="s">
        <v>711</v>
      </c>
      <c r="U13" s="138" t="s">
        <v>711</v>
      </c>
      <c r="V13" s="101">
        <f>'2026'!M8</f>
        <v>14</v>
      </c>
      <c r="W13" s="101">
        <f t="shared" si="6"/>
        <v>14</v>
      </c>
      <c r="X13" s="101">
        <v>7</v>
      </c>
      <c r="Y13" s="101">
        <f>SUM(30-X13)*AA13</f>
        <v>46</v>
      </c>
      <c r="Z13" s="58">
        <f t="shared" si="7"/>
        <v>730</v>
      </c>
      <c r="AA13" s="101">
        <f>Z13/365</f>
        <v>2</v>
      </c>
      <c r="AB13" s="102">
        <f t="shared" si="8"/>
        <v>2.0712328767123287</v>
      </c>
      <c r="AC13" s="103">
        <v>46188</v>
      </c>
    </row>
    <row r="14" spans="1:30" x14ac:dyDescent="0.25">
      <c r="A14" s="4">
        <v>11</v>
      </c>
      <c r="B14" s="91" t="s">
        <v>359</v>
      </c>
      <c r="C14" s="91" t="s">
        <v>497</v>
      </c>
      <c r="D14" s="74">
        <v>39083</v>
      </c>
      <c r="E14" s="134">
        <v>44197</v>
      </c>
      <c r="F14" s="102">
        <v>8</v>
      </c>
      <c r="G14" s="99">
        <v>10</v>
      </c>
      <c r="H14" s="99">
        <v>5</v>
      </c>
      <c r="I14" s="99">
        <f>'2013'!I7</f>
        <v>4</v>
      </c>
      <c r="J14" s="99">
        <f>'2014'!I9</f>
        <v>5</v>
      </c>
      <c r="K14" s="99">
        <f>'2015'!L10</f>
        <v>10</v>
      </c>
      <c r="L14" s="100">
        <f>'2016'!M11</f>
        <v>5</v>
      </c>
      <c r="M14" s="135"/>
      <c r="N14" s="101">
        <f>'2018'!M9</f>
        <v>0</v>
      </c>
      <c r="O14" s="100">
        <f>'2019'!M8</f>
        <v>4</v>
      </c>
      <c r="P14" s="100">
        <v>3</v>
      </c>
      <c r="Q14" s="100">
        <v>0</v>
      </c>
      <c r="R14" s="100">
        <v>15</v>
      </c>
      <c r="S14" s="100">
        <v>16</v>
      </c>
      <c r="T14" s="100">
        <v>8</v>
      </c>
      <c r="U14" s="138">
        <f>'2025'!M9</f>
        <v>0</v>
      </c>
      <c r="V14" s="101">
        <f>'2026'!M9</f>
        <v>7</v>
      </c>
      <c r="W14" s="101">
        <f>SUM(P14:V14)</f>
        <v>49</v>
      </c>
      <c r="X14" s="101">
        <f>W14/5</f>
        <v>9.8000000000000007</v>
      </c>
      <c r="Y14" s="101">
        <f>SUM(30-X14)*AA14</f>
        <v>102.71561643835616</v>
      </c>
      <c r="Z14" s="58">
        <f t="shared" si="7"/>
        <v>1856</v>
      </c>
      <c r="AA14" s="101">
        <f>Z14/365</f>
        <v>5.0849315068493155</v>
      </c>
      <c r="AB14" s="102">
        <f t="shared" si="8"/>
        <v>19.095890410958905</v>
      </c>
      <c r="AC14" s="103">
        <v>46053</v>
      </c>
    </row>
    <row r="15" spans="1:30" x14ac:dyDescent="0.25">
      <c r="A15" s="4">
        <v>12</v>
      </c>
      <c r="B15" s="133" t="s">
        <v>463</v>
      </c>
      <c r="C15" s="133" t="s">
        <v>592</v>
      </c>
      <c r="D15" s="134">
        <v>41852</v>
      </c>
      <c r="E15" s="134">
        <v>44197</v>
      </c>
      <c r="F15" s="115"/>
      <c r="G15" s="115"/>
      <c r="H15" s="115"/>
      <c r="I15" s="115"/>
      <c r="J15" s="58"/>
      <c r="K15" s="58"/>
      <c r="L15" s="58"/>
      <c r="M15" s="135"/>
      <c r="N15" s="101">
        <f>'2018'!M99</f>
        <v>0</v>
      </c>
      <c r="O15" s="101">
        <f>'2019'!M102</f>
        <v>16</v>
      </c>
      <c r="P15" s="100">
        <v>41</v>
      </c>
      <c r="Q15" s="101">
        <v>0</v>
      </c>
      <c r="R15" s="101">
        <v>0</v>
      </c>
      <c r="S15" s="100">
        <v>32</v>
      </c>
      <c r="T15" s="101">
        <v>0</v>
      </c>
      <c r="U15" s="138">
        <f>'2025'!M10</f>
        <v>0</v>
      </c>
      <c r="V15" s="101"/>
      <c r="W15" s="101">
        <f t="shared" ref="W14:W17" si="9">SUM(P15:T15)</f>
        <v>73</v>
      </c>
      <c r="X15" s="101">
        <f>W15/5</f>
        <v>14.6</v>
      </c>
      <c r="Y15" s="101">
        <f>SUM(30-X15)*AA15</f>
        <v>78.307945205479456</v>
      </c>
      <c r="Z15" s="58">
        <f t="shared" si="7"/>
        <v>1856</v>
      </c>
      <c r="AA15" s="101">
        <f>Z15/365</f>
        <v>5.0849315068493155</v>
      </c>
      <c r="AB15" s="102">
        <f t="shared" si="8"/>
        <v>11.509589041095891</v>
      </c>
      <c r="AC15" s="103">
        <v>46053</v>
      </c>
    </row>
    <row r="16" spans="1:30" x14ac:dyDescent="0.25">
      <c r="A16" s="4">
        <v>13</v>
      </c>
      <c r="B16" s="91" t="s">
        <v>360</v>
      </c>
      <c r="C16" s="91" t="s">
        <v>498</v>
      </c>
      <c r="D16" s="74">
        <v>39083</v>
      </c>
      <c r="E16" s="134">
        <v>44197</v>
      </c>
      <c r="F16" s="99">
        <v>21</v>
      </c>
      <c r="G16" s="99">
        <v>33</v>
      </c>
      <c r="H16" s="99">
        <v>14</v>
      </c>
      <c r="I16" s="99">
        <f>'2013'!I9</f>
        <v>15</v>
      </c>
      <c r="J16" s="99">
        <f>'2014'!I12</f>
        <v>11</v>
      </c>
      <c r="K16" s="99">
        <f>'2015'!L13</f>
        <v>31</v>
      </c>
      <c r="L16" s="100">
        <f>'2016'!M14</f>
        <v>34</v>
      </c>
      <c r="M16" s="135"/>
      <c r="N16" s="100">
        <f>'2018'!M12</f>
        <v>18</v>
      </c>
      <c r="O16" s="100">
        <f>'2019'!M10</f>
        <v>13</v>
      </c>
      <c r="P16" s="101">
        <v>0</v>
      </c>
      <c r="Q16" s="100">
        <v>16</v>
      </c>
      <c r="R16" s="100">
        <v>23</v>
      </c>
      <c r="S16" s="100">
        <v>19</v>
      </c>
      <c r="T16" s="100">
        <v>12</v>
      </c>
      <c r="U16" s="100">
        <f>'2025'!M11</f>
        <v>15</v>
      </c>
      <c r="V16" s="101"/>
      <c r="W16" s="101">
        <f t="shared" si="9"/>
        <v>70</v>
      </c>
      <c r="X16" s="101">
        <f t="shared" si="2"/>
        <v>14</v>
      </c>
      <c r="Y16" s="101">
        <f t="shared" si="3"/>
        <v>81.358904109589048</v>
      </c>
      <c r="Z16" s="58">
        <f t="shared" si="7"/>
        <v>1856</v>
      </c>
      <c r="AA16" s="101">
        <f t="shared" si="4"/>
        <v>5.0849315068493155</v>
      </c>
      <c r="AB16" s="102">
        <f t="shared" si="8"/>
        <v>19.095890410958905</v>
      </c>
      <c r="AC16" s="103">
        <v>46053</v>
      </c>
    </row>
    <row r="17" spans="1:29" x14ac:dyDescent="0.25">
      <c r="A17" s="4">
        <v>14</v>
      </c>
      <c r="B17" s="133" t="s">
        <v>361</v>
      </c>
      <c r="C17" s="133" t="s">
        <v>499</v>
      </c>
      <c r="D17" s="134">
        <v>39083</v>
      </c>
      <c r="E17" s="134">
        <v>44197</v>
      </c>
      <c r="F17" s="99">
        <v>89</v>
      </c>
      <c r="G17" s="99">
        <v>45</v>
      </c>
      <c r="H17" s="102">
        <v>13</v>
      </c>
      <c r="I17" s="102">
        <f>'2013'!I10</f>
        <v>29</v>
      </c>
      <c r="J17" s="99">
        <f>'2014'!I13</f>
        <v>14</v>
      </c>
      <c r="K17" s="99">
        <f>'2015'!L14</f>
        <v>31</v>
      </c>
      <c r="L17" s="100">
        <f>'2016'!M15</f>
        <v>23</v>
      </c>
      <c r="M17" s="135"/>
      <c r="N17" s="100">
        <f>'2018'!M13</f>
        <v>13</v>
      </c>
      <c r="O17" s="101">
        <f>'2019'!M11</f>
        <v>0</v>
      </c>
      <c r="P17" s="101">
        <v>0</v>
      </c>
      <c r="Q17" s="100">
        <v>28</v>
      </c>
      <c r="R17" s="101">
        <v>16</v>
      </c>
      <c r="S17" s="100">
        <v>22</v>
      </c>
      <c r="T17" s="100">
        <f>'2024'!M11</f>
        <v>15</v>
      </c>
      <c r="U17" s="100">
        <f>'2025'!M12</f>
        <v>20</v>
      </c>
      <c r="V17" s="101"/>
      <c r="W17" s="101">
        <f t="shared" si="9"/>
        <v>81</v>
      </c>
      <c r="X17" s="101">
        <f t="shared" si="2"/>
        <v>16.2</v>
      </c>
      <c r="Y17" s="101">
        <f t="shared" si="3"/>
        <v>70.172054794520562</v>
      </c>
      <c r="Z17" s="58">
        <f t="shared" si="7"/>
        <v>1856</v>
      </c>
      <c r="AA17" s="101">
        <f t="shared" si="4"/>
        <v>5.0849315068493155</v>
      </c>
      <c r="AB17" s="102">
        <f t="shared" si="8"/>
        <v>19.095890410958905</v>
      </c>
      <c r="AC17" s="103">
        <v>46053</v>
      </c>
    </row>
    <row r="18" spans="1:29" x14ac:dyDescent="0.25">
      <c r="A18" s="4">
        <v>15</v>
      </c>
      <c r="B18" s="133" t="s">
        <v>362</v>
      </c>
      <c r="C18" s="133" t="s">
        <v>12</v>
      </c>
      <c r="D18" s="134">
        <v>39142</v>
      </c>
      <c r="E18" s="134">
        <v>44197</v>
      </c>
      <c r="F18" s="99">
        <v>31</v>
      </c>
      <c r="G18" s="102">
        <v>6</v>
      </c>
      <c r="H18" s="99">
        <v>34</v>
      </c>
      <c r="I18" s="102">
        <f>'2013'!I11</f>
        <v>0</v>
      </c>
      <c r="J18" s="99">
        <f>'2014'!I14</f>
        <v>34</v>
      </c>
      <c r="K18" s="99">
        <f>'2015'!L15</f>
        <v>13</v>
      </c>
      <c r="L18" s="100">
        <f>'2016'!M16</f>
        <v>11</v>
      </c>
      <c r="M18" s="135"/>
      <c r="N18" s="100">
        <f>'2018'!M14</f>
        <v>10</v>
      </c>
      <c r="O18" s="100">
        <f>'2019'!M12</f>
        <v>18</v>
      </c>
      <c r="P18" s="101">
        <v>1</v>
      </c>
      <c r="Q18" s="101">
        <v>0</v>
      </c>
      <c r="R18" s="100">
        <v>8</v>
      </c>
      <c r="S18" s="100">
        <v>37</v>
      </c>
      <c r="T18" s="101">
        <v>2</v>
      </c>
      <c r="U18" s="101">
        <f>'2025'!M13</f>
        <v>4</v>
      </c>
      <c r="V18" s="101"/>
      <c r="W18" s="101">
        <f>SUM(P18:U18)</f>
        <v>52</v>
      </c>
      <c r="X18" s="101">
        <f t="shared" si="2"/>
        <v>10.4</v>
      </c>
      <c r="Y18" s="101">
        <f t="shared" si="3"/>
        <v>99.664657534246587</v>
      </c>
      <c r="Z18" s="58">
        <f t="shared" si="7"/>
        <v>1856</v>
      </c>
      <c r="AA18" s="101">
        <f t="shared" si="4"/>
        <v>5.0849315068493155</v>
      </c>
      <c r="AB18" s="102">
        <f t="shared" si="8"/>
        <v>18.934246575342467</v>
      </c>
      <c r="AC18" s="103">
        <v>46053</v>
      </c>
    </row>
    <row r="19" spans="1:29" x14ac:dyDescent="0.25">
      <c r="A19" s="4">
        <v>16</v>
      </c>
      <c r="B19" s="133" t="s">
        <v>363</v>
      </c>
      <c r="C19" s="133" t="s">
        <v>500</v>
      </c>
      <c r="D19" s="134">
        <v>42036</v>
      </c>
      <c r="E19" s="134">
        <v>44197</v>
      </c>
      <c r="F19" s="142" t="s">
        <v>205</v>
      </c>
      <c r="G19" s="142"/>
      <c r="H19" s="142"/>
      <c r="I19" s="142"/>
      <c r="J19" s="142"/>
      <c r="K19" s="102">
        <f>'2015'!L3</f>
        <v>5</v>
      </c>
      <c r="L19" s="100">
        <f>'2016'!M5</f>
        <v>20</v>
      </c>
      <c r="M19" s="135"/>
      <c r="N19" s="100">
        <f>'2018'!M15</f>
        <v>51</v>
      </c>
      <c r="O19" s="100">
        <f>'2019'!M13</f>
        <v>22</v>
      </c>
      <c r="P19" s="100">
        <v>20</v>
      </c>
      <c r="Q19" s="100">
        <v>6</v>
      </c>
      <c r="R19" s="100">
        <v>60</v>
      </c>
      <c r="S19" s="100">
        <v>5</v>
      </c>
      <c r="T19" s="100">
        <v>13</v>
      </c>
      <c r="U19" s="101">
        <f>'2025'!M14</f>
        <v>0</v>
      </c>
      <c r="V19" s="100">
        <f>'2026'!M14</f>
        <v>14</v>
      </c>
      <c r="W19" s="101">
        <f>SUM(P19:T19)</f>
        <v>104</v>
      </c>
      <c r="X19" s="101">
        <f t="shared" si="2"/>
        <v>20.8</v>
      </c>
      <c r="Y19" s="101">
        <f t="shared" si="3"/>
        <v>46.781369863013701</v>
      </c>
      <c r="Z19" s="58">
        <f t="shared" si="7"/>
        <v>1856</v>
      </c>
      <c r="AA19" s="101">
        <f t="shared" si="4"/>
        <v>5.0849315068493155</v>
      </c>
      <c r="AB19" s="102">
        <f t="shared" si="8"/>
        <v>11.005479452054795</v>
      </c>
      <c r="AC19" s="103">
        <v>46053</v>
      </c>
    </row>
    <row r="20" spans="1:29" x14ac:dyDescent="0.25">
      <c r="A20" s="4">
        <v>17</v>
      </c>
      <c r="B20" s="133" t="s">
        <v>356</v>
      </c>
      <c r="C20" s="133" t="s">
        <v>494</v>
      </c>
      <c r="D20" s="134">
        <v>44317</v>
      </c>
      <c r="E20" s="134">
        <v>44317</v>
      </c>
      <c r="F20" s="106"/>
      <c r="G20" s="107"/>
      <c r="H20" s="106"/>
      <c r="I20" s="106"/>
      <c r="J20" s="106"/>
      <c r="K20" s="106"/>
      <c r="L20" s="101"/>
      <c r="M20" s="135"/>
      <c r="N20" s="101"/>
      <c r="O20" s="101"/>
      <c r="P20" s="101"/>
      <c r="Q20" s="101">
        <v>16</v>
      </c>
      <c r="R20" s="101">
        <v>0</v>
      </c>
      <c r="S20" s="100">
        <v>6</v>
      </c>
      <c r="T20" s="101">
        <v>26</v>
      </c>
      <c r="U20" s="101">
        <f>'2025'!M15</f>
        <v>0</v>
      </c>
      <c r="V20" s="101"/>
      <c r="W20" s="101">
        <f>SUM(P20:T20)</f>
        <v>48</v>
      </c>
      <c r="X20" s="101">
        <f>W20/5</f>
        <v>9.6</v>
      </c>
      <c r="Y20" s="101">
        <f>SUM(30-X20)*AA20</f>
        <v>97.025753424657523</v>
      </c>
      <c r="Z20" s="58">
        <f t="shared" si="7"/>
        <v>1736</v>
      </c>
      <c r="AA20" s="101">
        <f>Z20/365</f>
        <v>4.7561643835616438</v>
      </c>
      <c r="AB20" s="102">
        <f t="shared" si="8"/>
        <v>4.7561643835616438</v>
      </c>
      <c r="AC20" s="103">
        <v>46053</v>
      </c>
    </row>
    <row r="21" spans="1:29" x14ac:dyDescent="0.25">
      <c r="A21" s="4">
        <v>18</v>
      </c>
      <c r="B21" s="133" t="s">
        <v>364</v>
      </c>
      <c r="C21" s="133" t="s">
        <v>501</v>
      </c>
      <c r="D21" s="134">
        <v>39083</v>
      </c>
      <c r="E21" s="134">
        <v>44197</v>
      </c>
      <c r="F21" s="102">
        <v>0</v>
      </c>
      <c r="G21" s="102">
        <v>0</v>
      </c>
      <c r="H21" s="99">
        <v>66</v>
      </c>
      <c r="I21" s="102">
        <f>'2013'!I12</f>
        <v>0</v>
      </c>
      <c r="J21" s="99">
        <f>'2014'!I15</f>
        <v>42</v>
      </c>
      <c r="K21" s="102">
        <f>'2015'!L16</f>
        <v>0</v>
      </c>
      <c r="L21" s="101">
        <f>'2016'!M17</f>
        <v>4</v>
      </c>
      <c r="M21" s="135"/>
      <c r="N21" s="101">
        <f>'2018'!M17</f>
        <v>8</v>
      </c>
      <c r="O21" s="101">
        <f>'2019'!M15</f>
        <v>0</v>
      </c>
      <c r="P21" s="101">
        <v>0</v>
      </c>
      <c r="Q21" s="101">
        <v>0</v>
      </c>
      <c r="R21" s="100">
        <v>35</v>
      </c>
      <c r="S21" s="100">
        <v>12</v>
      </c>
      <c r="T21" s="100">
        <v>28</v>
      </c>
      <c r="U21" s="101">
        <f>'2025'!M16</f>
        <v>0</v>
      </c>
      <c r="V21" s="101"/>
      <c r="W21" s="101">
        <f>SUM(P21:T21)</f>
        <v>75</v>
      </c>
      <c r="X21" s="101">
        <f t="shared" si="2"/>
        <v>15</v>
      </c>
      <c r="Y21" s="101">
        <f t="shared" si="3"/>
        <v>76.273972602739732</v>
      </c>
      <c r="Z21" s="58">
        <f t="shared" si="7"/>
        <v>1856</v>
      </c>
      <c r="AA21" s="101">
        <f t="shared" si="4"/>
        <v>5.0849315068493155</v>
      </c>
      <c r="AB21" s="102">
        <f t="shared" si="8"/>
        <v>19.095890410958905</v>
      </c>
      <c r="AC21" s="103">
        <v>46053</v>
      </c>
    </row>
    <row r="22" spans="1:29" ht="18" customHeight="1" x14ac:dyDescent="0.25">
      <c r="A22" s="4">
        <v>19</v>
      </c>
      <c r="B22" s="133" t="s">
        <v>365</v>
      </c>
      <c r="C22" s="133" t="s">
        <v>502</v>
      </c>
      <c r="D22" s="134">
        <v>41334</v>
      </c>
      <c r="E22" s="134">
        <v>44197</v>
      </c>
      <c r="F22" s="140"/>
      <c r="G22" s="140"/>
      <c r="H22" s="140"/>
      <c r="I22" s="102">
        <f>'2013'!I13</f>
        <v>0</v>
      </c>
      <c r="J22" s="102">
        <f>'2014'!I16</f>
        <v>0</v>
      </c>
      <c r="K22" s="102">
        <f>'2015'!L17</f>
        <v>0</v>
      </c>
      <c r="L22" s="100">
        <f>'2016'!M18</f>
        <v>37</v>
      </c>
      <c r="M22" s="135"/>
      <c r="N22" s="101">
        <f>'2018'!M18</f>
        <v>7</v>
      </c>
      <c r="O22" s="101">
        <f>'2019'!M16</f>
        <v>0</v>
      </c>
      <c r="P22" s="101">
        <v>0</v>
      </c>
      <c r="Q22" s="101">
        <v>0</v>
      </c>
      <c r="R22" s="100">
        <v>11</v>
      </c>
      <c r="S22" s="101">
        <v>0</v>
      </c>
      <c r="T22" s="100">
        <v>19</v>
      </c>
      <c r="U22" s="101">
        <f>'2025'!M17</f>
        <v>0</v>
      </c>
      <c r="V22" s="101"/>
      <c r="W22" s="101">
        <f>SUM(P22:T22)</f>
        <v>30</v>
      </c>
      <c r="X22" s="101">
        <f t="shared" si="2"/>
        <v>6</v>
      </c>
      <c r="Y22" s="101">
        <f t="shared" si="3"/>
        <v>122.03835616438357</v>
      </c>
      <c r="Z22" s="58">
        <f t="shared" si="7"/>
        <v>1856</v>
      </c>
      <c r="AA22" s="101">
        <f t="shared" si="4"/>
        <v>5.0849315068493155</v>
      </c>
      <c r="AB22" s="102">
        <f t="shared" si="8"/>
        <v>12.92876712328767</v>
      </c>
      <c r="AC22" s="103">
        <v>46053</v>
      </c>
    </row>
    <row r="23" spans="1:29" x14ac:dyDescent="0.25">
      <c r="A23" s="4">
        <v>20</v>
      </c>
      <c r="B23" s="133" t="s">
        <v>366</v>
      </c>
      <c r="C23" s="133" t="s">
        <v>503</v>
      </c>
      <c r="D23" s="134">
        <v>40483</v>
      </c>
      <c r="E23" s="134">
        <v>44197</v>
      </c>
      <c r="F23" s="102">
        <v>0</v>
      </c>
      <c r="G23" s="102">
        <v>0</v>
      </c>
      <c r="H23" s="99">
        <v>40</v>
      </c>
      <c r="I23" s="102">
        <f>'2013'!I16</f>
        <v>44</v>
      </c>
      <c r="J23" s="99">
        <f>'2014'!I19</f>
        <v>23</v>
      </c>
      <c r="K23" s="99">
        <f>'2015'!L19</f>
        <v>50</v>
      </c>
      <c r="L23" s="102">
        <f>'2016'!M20</f>
        <v>38</v>
      </c>
      <c r="M23" s="135"/>
      <c r="N23" s="101">
        <f>'2018'!M20</f>
        <v>47</v>
      </c>
      <c r="O23" s="100">
        <f>'2019'!M18</f>
        <v>49</v>
      </c>
      <c r="P23" s="101">
        <v>0</v>
      </c>
      <c r="Q23" s="100">
        <v>29</v>
      </c>
      <c r="R23" s="101">
        <v>20</v>
      </c>
      <c r="S23" s="100">
        <v>35</v>
      </c>
      <c r="T23" s="101">
        <v>28</v>
      </c>
      <c r="U23" s="101">
        <f>'2025'!M18</f>
        <v>0</v>
      </c>
      <c r="V23" s="101"/>
      <c r="W23" s="101">
        <f>SUM(P23:T23)</f>
        <v>112</v>
      </c>
      <c r="X23" s="101">
        <f t="shared" si="2"/>
        <v>22.4</v>
      </c>
      <c r="Y23" s="101">
        <f t="shared" si="3"/>
        <v>42.414246575342474</v>
      </c>
      <c r="Z23" s="58">
        <f t="shared" si="7"/>
        <v>2037</v>
      </c>
      <c r="AA23" s="101">
        <f t="shared" si="4"/>
        <v>5.580821917808219</v>
      </c>
      <c r="AB23" s="102">
        <f t="shared" si="8"/>
        <v>15.756164383561643</v>
      </c>
      <c r="AC23" s="103">
        <v>46234</v>
      </c>
    </row>
    <row r="24" spans="1:29" x14ac:dyDescent="0.25">
      <c r="A24" s="4">
        <v>21</v>
      </c>
      <c r="B24" s="133" t="s">
        <v>367</v>
      </c>
      <c r="C24" s="133" t="s">
        <v>504</v>
      </c>
      <c r="D24" s="134">
        <v>44652</v>
      </c>
      <c r="E24" s="134">
        <v>44682</v>
      </c>
      <c r="F24" s="58"/>
      <c r="G24" s="58"/>
      <c r="H24" s="58"/>
      <c r="I24" s="58"/>
      <c r="J24" s="58"/>
      <c r="K24" s="58"/>
      <c r="L24" s="58"/>
      <c r="M24" s="135"/>
      <c r="N24" s="58"/>
      <c r="O24" s="58"/>
      <c r="P24" s="58"/>
      <c r="Q24" s="58"/>
      <c r="R24" s="101">
        <v>7</v>
      </c>
      <c r="S24" s="101">
        <v>16</v>
      </c>
      <c r="T24" s="100">
        <v>37</v>
      </c>
      <c r="U24" s="101">
        <f>'2025'!M19</f>
        <v>17</v>
      </c>
      <c r="V24" s="101"/>
      <c r="W24" s="101">
        <f>SUM(P24:U24)</f>
        <v>77</v>
      </c>
      <c r="X24" s="101">
        <f>W24/AA24</f>
        <v>20.49963530269876</v>
      </c>
      <c r="Y24" s="101">
        <f t="shared" si="3"/>
        <v>35.684931506849317</v>
      </c>
      <c r="Z24" s="58">
        <f t="shared" si="7"/>
        <v>1371</v>
      </c>
      <c r="AA24" s="101">
        <f t="shared" si="4"/>
        <v>3.7561643835616438</v>
      </c>
      <c r="AB24" s="102">
        <f t="shared" si="8"/>
        <v>3.8383561643835615</v>
      </c>
      <c r="AC24" s="103">
        <v>46053</v>
      </c>
    </row>
    <row r="25" spans="1:29" x14ac:dyDescent="0.25">
      <c r="A25" s="4">
        <v>22</v>
      </c>
      <c r="B25" s="133" t="s">
        <v>368</v>
      </c>
      <c r="C25" s="133" t="s">
        <v>505</v>
      </c>
      <c r="D25" s="134">
        <v>44652</v>
      </c>
      <c r="E25" s="134">
        <v>44652</v>
      </c>
      <c r="F25" s="58"/>
      <c r="G25" s="58"/>
      <c r="H25" s="58"/>
      <c r="I25" s="58"/>
      <c r="J25" s="58"/>
      <c r="K25" s="58"/>
      <c r="L25" s="58"/>
      <c r="M25" s="135"/>
      <c r="N25" s="58"/>
      <c r="O25" s="58"/>
      <c r="P25" s="58"/>
      <c r="Q25" s="58"/>
      <c r="R25" s="101">
        <v>0</v>
      </c>
      <c r="S25" s="101">
        <v>0</v>
      </c>
      <c r="T25" s="101">
        <v>0</v>
      </c>
      <c r="U25" s="100">
        <f>'2025'!M20</f>
        <v>21</v>
      </c>
      <c r="V25" s="101"/>
      <c r="W25" s="101">
        <f>SUM(P25:T25)</f>
        <v>0</v>
      </c>
      <c r="X25" s="101">
        <f t="shared" si="2"/>
        <v>0</v>
      </c>
      <c r="Y25" s="101">
        <f t="shared" si="3"/>
        <v>115.15068493150685</v>
      </c>
      <c r="Z25" s="58">
        <f t="shared" si="7"/>
        <v>1401</v>
      </c>
      <c r="AA25" s="101">
        <f t="shared" si="4"/>
        <v>3.8383561643835615</v>
      </c>
      <c r="AB25" s="102">
        <f t="shared" si="8"/>
        <v>3.8383561643835615</v>
      </c>
      <c r="AC25" s="103">
        <v>46053</v>
      </c>
    </row>
    <row r="26" spans="1:29" x14ac:dyDescent="0.25">
      <c r="A26" s="4">
        <v>23</v>
      </c>
      <c r="B26" s="133" t="s">
        <v>369</v>
      </c>
      <c r="C26" s="133" t="s">
        <v>506</v>
      </c>
      <c r="D26" s="134">
        <v>44652</v>
      </c>
      <c r="E26" s="134">
        <v>44682</v>
      </c>
      <c r="F26" s="58"/>
      <c r="G26" s="58"/>
      <c r="H26" s="58"/>
      <c r="I26" s="58"/>
      <c r="J26" s="58"/>
      <c r="K26" s="58"/>
      <c r="L26" s="58"/>
      <c r="M26" s="135"/>
      <c r="N26" s="58"/>
      <c r="O26" s="58"/>
      <c r="P26" s="58"/>
      <c r="Q26" s="58"/>
      <c r="R26" s="101">
        <v>0</v>
      </c>
      <c r="S26" s="101">
        <v>0</v>
      </c>
      <c r="T26" s="100">
        <v>26</v>
      </c>
      <c r="U26" s="101">
        <f>'2025'!M21</f>
        <v>0</v>
      </c>
      <c r="V26" s="101">
        <f>'2026'!M106</f>
        <v>1</v>
      </c>
      <c r="W26" s="101">
        <f>SUM(P26:V26)</f>
        <v>27</v>
      </c>
      <c r="X26" s="101">
        <f t="shared" si="2"/>
        <v>5.4</v>
      </c>
      <c r="Y26" s="101">
        <f t="shared" si="3"/>
        <v>92.40164383561644</v>
      </c>
      <c r="Z26" s="58">
        <f t="shared" si="7"/>
        <v>1371</v>
      </c>
      <c r="AA26" s="101">
        <f t="shared" si="4"/>
        <v>3.7561643835616438</v>
      </c>
      <c r="AB26" s="102">
        <f t="shared" si="8"/>
        <v>3.8383561643835615</v>
      </c>
      <c r="AC26" s="103">
        <v>46053</v>
      </c>
    </row>
    <row r="27" spans="1:29" x14ac:dyDescent="0.25">
      <c r="A27" s="4">
        <v>24</v>
      </c>
      <c r="B27" s="133" t="s">
        <v>370</v>
      </c>
      <c r="C27" s="133" t="s">
        <v>507</v>
      </c>
      <c r="D27" s="134">
        <v>41244</v>
      </c>
      <c r="E27" s="134">
        <v>44197</v>
      </c>
      <c r="F27" s="141">
        <v>41244</v>
      </c>
      <c r="G27" s="141"/>
      <c r="H27" s="102">
        <v>0</v>
      </c>
      <c r="I27" s="102">
        <f>'2013'!I24</f>
        <v>0</v>
      </c>
      <c r="J27" s="102">
        <f>'2014'!I26</f>
        <v>0</v>
      </c>
      <c r="K27" s="102">
        <f>'2015'!L25</f>
        <v>0</v>
      </c>
      <c r="L27" s="101">
        <f>'2016'!M27</f>
        <v>0</v>
      </c>
      <c r="M27" s="135"/>
      <c r="N27" s="101">
        <f>'2018'!M25</f>
        <v>47</v>
      </c>
      <c r="O27" s="100">
        <f>'2019'!M22</f>
        <v>86</v>
      </c>
      <c r="P27" s="101">
        <v>0</v>
      </c>
      <c r="Q27" s="100">
        <v>58</v>
      </c>
      <c r="R27" s="101">
        <v>45</v>
      </c>
      <c r="S27" s="100">
        <v>46</v>
      </c>
      <c r="T27" s="101">
        <v>0</v>
      </c>
      <c r="U27" s="101">
        <f>'2025'!M22</f>
        <v>46</v>
      </c>
      <c r="V27" s="101"/>
      <c r="W27" s="101">
        <f>SUM(P27:T27)</f>
        <v>149</v>
      </c>
      <c r="X27" s="101">
        <f t="shared" si="2"/>
        <v>29.8</v>
      </c>
      <c r="Y27" s="101">
        <f t="shared" si="3"/>
        <v>1.0169863013698595</v>
      </c>
      <c r="Z27" s="58">
        <f t="shared" si="7"/>
        <v>1856</v>
      </c>
      <c r="AA27" s="101">
        <f t="shared" si="4"/>
        <v>5.0849315068493155</v>
      </c>
      <c r="AB27" s="102">
        <f t="shared" si="8"/>
        <v>13.175342465753424</v>
      </c>
      <c r="AC27" s="103">
        <v>46053</v>
      </c>
    </row>
    <row r="28" spans="1:29" ht="15.75" customHeight="1" x14ac:dyDescent="0.25">
      <c r="A28" s="4">
        <v>25</v>
      </c>
      <c r="B28" s="133" t="s">
        <v>373</v>
      </c>
      <c r="C28" s="133" t="s">
        <v>510</v>
      </c>
      <c r="D28" s="134">
        <v>41913</v>
      </c>
      <c r="E28" s="134">
        <v>44197</v>
      </c>
      <c r="F28" s="104" t="s">
        <v>634</v>
      </c>
      <c r="G28" s="104"/>
      <c r="H28" s="104"/>
      <c r="I28" s="104"/>
      <c r="J28" s="102">
        <v>0</v>
      </c>
      <c r="K28" s="102">
        <f>'2015'!L43</f>
        <v>0</v>
      </c>
      <c r="L28" s="101">
        <f>'2016'!M38</f>
        <v>0</v>
      </c>
      <c r="M28" s="135"/>
      <c r="N28" s="101">
        <f>'2018'!M35</f>
        <v>0</v>
      </c>
      <c r="O28" s="100">
        <f>'2019'!M30</f>
        <v>78</v>
      </c>
      <c r="P28" s="101">
        <v>0</v>
      </c>
      <c r="Q28" s="100">
        <v>102</v>
      </c>
      <c r="R28" s="101">
        <v>0</v>
      </c>
      <c r="S28" s="100">
        <v>57</v>
      </c>
      <c r="T28" s="101">
        <v>41</v>
      </c>
      <c r="U28" s="101">
        <f>'2025'!M23</f>
        <v>9</v>
      </c>
      <c r="V28" s="101"/>
      <c r="W28" s="101">
        <f>SUM(P28:T28)</f>
        <v>200</v>
      </c>
      <c r="X28" s="101">
        <f t="shared" si="2"/>
        <v>40</v>
      </c>
      <c r="Y28" s="101">
        <f t="shared" si="3"/>
        <v>-50.849315068493155</v>
      </c>
      <c r="Z28" s="58">
        <f t="shared" si="7"/>
        <v>1856</v>
      </c>
      <c r="AA28" s="101">
        <f t="shared" si="4"/>
        <v>5.0849315068493155</v>
      </c>
      <c r="AB28" s="102">
        <f t="shared" si="8"/>
        <v>11.342465753424657</v>
      </c>
      <c r="AC28" s="103">
        <v>46053</v>
      </c>
    </row>
    <row r="29" spans="1:29" x14ac:dyDescent="0.25">
      <c r="A29" s="4">
        <v>26</v>
      </c>
      <c r="B29" s="133" t="s">
        <v>375</v>
      </c>
      <c r="C29" s="133" t="s">
        <v>512</v>
      </c>
      <c r="D29" s="134">
        <v>41760</v>
      </c>
      <c r="E29" s="134">
        <v>44197</v>
      </c>
      <c r="F29" s="103"/>
      <c r="G29" s="103"/>
      <c r="H29" s="103"/>
      <c r="I29" s="103"/>
      <c r="J29" s="102">
        <f>'2014'!I44</f>
        <v>0</v>
      </c>
      <c r="K29" s="102">
        <f>'2015'!L38</f>
        <v>48</v>
      </c>
      <c r="L29" s="100">
        <f>'2016'!M47</f>
        <v>22</v>
      </c>
      <c r="M29" s="135"/>
      <c r="N29" s="101">
        <f>'2018'!M43</f>
        <v>0</v>
      </c>
      <c r="O29" s="100">
        <f>'2019'!M36</f>
        <v>62</v>
      </c>
      <c r="P29" s="101">
        <v>0</v>
      </c>
      <c r="Q29" s="100">
        <v>61</v>
      </c>
      <c r="R29" s="101">
        <v>0</v>
      </c>
      <c r="S29" s="100">
        <v>61</v>
      </c>
      <c r="T29" s="101">
        <v>0</v>
      </c>
      <c r="U29" s="101">
        <f>'2025'!M24</f>
        <v>8</v>
      </c>
      <c r="V29" s="101"/>
      <c r="W29" s="101">
        <f>SUM(Q29:U29)</f>
        <v>130</v>
      </c>
      <c r="X29" s="101">
        <f t="shared" si="2"/>
        <v>26</v>
      </c>
      <c r="Y29" s="101">
        <f t="shared" si="3"/>
        <v>20.339726027397262</v>
      </c>
      <c r="Z29" s="58">
        <f t="shared" si="7"/>
        <v>1856</v>
      </c>
      <c r="AA29" s="101">
        <f t="shared" si="4"/>
        <v>5.0849315068493155</v>
      </c>
      <c r="AB29" s="102">
        <f t="shared" si="8"/>
        <v>11.761643835616438</v>
      </c>
      <c r="AC29" s="103">
        <v>46053</v>
      </c>
    </row>
    <row r="30" spans="1:29" x14ac:dyDescent="0.25">
      <c r="A30" s="4">
        <v>27</v>
      </c>
      <c r="B30" s="133" t="s">
        <v>377</v>
      </c>
      <c r="C30" s="133" t="s">
        <v>514</v>
      </c>
      <c r="D30" s="134">
        <v>40878</v>
      </c>
      <c r="E30" s="134">
        <v>44197</v>
      </c>
      <c r="F30" s="108">
        <v>0</v>
      </c>
      <c r="G30" s="108"/>
      <c r="H30" s="58">
        <v>0</v>
      </c>
      <c r="I30" s="58"/>
      <c r="J30" s="99">
        <f>'2014'!I66</f>
        <v>81</v>
      </c>
      <c r="K30" s="102">
        <f>'2015'!L69</f>
        <v>0</v>
      </c>
      <c r="L30" s="101">
        <f>'2016'!M49</f>
        <v>0</v>
      </c>
      <c r="M30" s="135"/>
      <c r="N30" s="101">
        <f>'2018'!M45</f>
        <v>0</v>
      </c>
      <c r="O30" s="100">
        <f>'2019'!M38</f>
        <v>31</v>
      </c>
      <c r="P30" s="101">
        <v>21</v>
      </c>
      <c r="Q30" s="101">
        <v>0</v>
      </c>
      <c r="R30" s="100">
        <v>61</v>
      </c>
      <c r="S30" s="101">
        <v>0</v>
      </c>
      <c r="T30" s="100">
        <v>62</v>
      </c>
      <c r="U30" s="101">
        <f>'2025'!M25</f>
        <v>0</v>
      </c>
      <c r="V30" s="101"/>
      <c r="W30" s="101">
        <f>SUM(P30:T30)</f>
        <v>144</v>
      </c>
      <c r="X30" s="101">
        <f t="shared" si="2"/>
        <v>28.8</v>
      </c>
      <c r="Y30" s="101">
        <f t="shared" si="3"/>
        <v>6.1019178082191754</v>
      </c>
      <c r="Z30" s="58">
        <f t="shared" si="7"/>
        <v>1856</v>
      </c>
      <c r="AA30" s="101">
        <f t="shared" si="4"/>
        <v>5.0849315068493155</v>
      </c>
      <c r="AB30" s="102">
        <f t="shared" si="8"/>
        <v>14.178082191780822</v>
      </c>
      <c r="AC30" s="103">
        <v>46053</v>
      </c>
    </row>
    <row r="31" spans="1:29" x14ac:dyDescent="0.25">
      <c r="A31" s="4">
        <v>28</v>
      </c>
      <c r="B31" s="133" t="s">
        <v>380</v>
      </c>
      <c r="C31" s="133" t="s">
        <v>516</v>
      </c>
      <c r="D31" s="134">
        <v>42522</v>
      </c>
      <c r="E31" s="134">
        <v>44197</v>
      </c>
      <c r="F31" s="108" t="s">
        <v>225</v>
      </c>
      <c r="G31" s="108"/>
      <c r="H31" s="108"/>
      <c r="I31" s="108"/>
      <c r="J31" s="108"/>
      <c r="K31" s="108"/>
      <c r="L31" s="101">
        <f>'2016'!M51</f>
        <v>0</v>
      </c>
      <c r="M31" s="135"/>
      <c r="N31" s="101">
        <f>'2018'!M47</f>
        <v>0</v>
      </c>
      <c r="O31" s="100">
        <f>'2019'!M40</f>
        <v>63</v>
      </c>
      <c r="P31" s="101">
        <v>40</v>
      </c>
      <c r="Q31" s="100">
        <v>23</v>
      </c>
      <c r="R31" s="101">
        <v>0</v>
      </c>
      <c r="S31" s="100">
        <v>31</v>
      </c>
      <c r="T31" s="101">
        <v>0</v>
      </c>
      <c r="U31" s="100">
        <f>'2025'!M26</f>
        <v>81</v>
      </c>
      <c r="V31" s="101"/>
      <c r="W31" s="101">
        <f>SUM(P31:T31)</f>
        <v>94</v>
      </c>
      <c r="X31" s="101">
        <f t="shared" si="2"/>
        <v>18.8</v>
      </c>
      <c r="Y31" s="101">
        <f t="shared" si="3"/>
        <v>56.951232876712332</v>
      </c>
      <c r="Z31" s="58">
        <f t="shared" si="7"/>
        <v>1856</v>
      </c>
      <c r="AA31" s="101">
        <f>Z31/365</f>
        <v>5.0849315068493155</v>
      </c>
      <c r="AB31" s="102">
        <f t="shared" si="8"/>
        <v>9.6739726027397257</v>
      </c>
      <c r="AC31" s="103">
        <v>46053</v>
      </c>
    </row>
    <row r="32" spans="1:29" x14ac:dyDescent="0.25">
      <c r="A32" s="4">
        <v>29</v>
      </c>
      <c r="B32" s="133" t="s">
        <v>383</v>
      </c>
      <c r="C32" s="133" t="s">
        <v>519</v>
      </c>
      <c r="D32" s="134">
        <v>42675</v>
      </c>
      <c r="E32" s="134">
        <v>44197</v>
      </c>
      <c r="F32" s="108"/>
      <c r="G32" s="108"/>
      <c r="H32" s="108"/>
      <c r="I32" s="108"/>
      <c r="J32" s="108"/>
      <c r="K32" s="108"/>
      <c r="L32" s="101">
        <f>'2016'!M57</f>
        <v>0</v>
      </c>
      <c r="M32" s="135"/>
      <c r="N32" s="100">
        <f>'2018'!M51</f>
        <v>21</v>
      </c>
      <c r="O32" s="101">
        <f>'2019'!M43</f>
        <v>50</v>
      </c>
      <c r="P32" s="101">
        <v>0</v>
      </c>
      <c r="Q32" s="100">
        <v>131</v>
      </c>
      <c r="R32" s="101">
        <v>0</v>
      </c>
      <c r="S32" s="101">
        <v>0</v>
      </c>
      <c r="T32" s="100">
        <v>63</v>
      </c>
      <c r="U32" s="101">
        <f>'2025'!M27</f>
        <v>41</v>
      </c>
      <c r="V32" s="101"/>
      <c r="W32" s="101">
        <f>SUM(Q32:U32)</f>
        <v>235</v>
      </c>
      <c r="X32" s="101">
        <f>W32/5</f>
        <v>47</v>
      </c>
      <c r="Y32" s="101">
        <f t="shared" si="3"/>
        <v>-86.443835616438363</v>
      </c>
      <c r="Z32" s="58">
        <f t="shared" si="7"/>
        <v>1856</v>
      </c>
      <c r="AA32" s="101">
        <f>Z32/365</f>
        <v>5.0849315068493155</v>
      </c>
      <c r="AB32" s="102">
        <f t="shared" si="8"/>
        <v>9.2547945205479447</v>
      </c>
      <c r="AC32" s="103">
        <v>46053</v>
      </c>
    </row>
    <row r="33" spans="1:29" x14ac:dyDescent="0.25">
      <c r="A33" s="4">
        <v>30</v>
      </c>
      <c r="B33" s="133" t="s">
        <v>676</v>
      </c>
      <c r="C33" s="133" t="s">
        <v>675</v>
      </c>
      <c r="D33" s="134">
        <v>42948</v>
      </c>
      <c r="E33" s="134">
        <v>44197</v>
      </c>
      <c r="F33" s="108"/>
      <c r="G33" s="108"/>
      <c r="H33" s="108"/>
      <c r="I33" s="108"/>
      <c r="J33" s="108"/>
      <c r="K33" s="108"/>
      <c r="L33" s="101"/>
      <c r="M33" s="135"/>
      <c r="N33" s="101">
        <f>'2018'!M59</f>
        <v>0</v>
      </c>
      <c r="O33" s="100">
        <f>'2019'!M50</f>
        <v>61</v>
      </c>
      <c r="P33" s="101">
        <v>0</v>
      </c>
      <c r="Q33" s="101">
        <v>30</v>
      </c>
      <c r="R33" s="100">
        <v>30</v>
      </c>
      <c r="S33" s="101">
        <v>0</v>
      </c>
      <c r="T33" s="100">
        <v>78</v>
      </c>
      <c r="U33" s="101">
        <f>'2025'!M28</f>
        <v>0</v>
      </c>
      <c r="V33" s="101"/>
      <c r="W33" s="101">
        <f>SUM(P33:T33)</f>
        <v>138</v>
      </c>
      <c r="X33" s="101">
        <f t="shared" si="2"/>
        <v>27.6</v>
      </c>
      <c r="Y33" s="101">
        <f t="shared" si="3"/>
        <v>12.203835616438351</v>
      </c>
      <c r="Z33" s="58">
        <f t="shared" si="7"/>
        <v>1856</v>
      </c>
      <c r="AA33" s="101">
        <f t="shared" si="4"/>
        <v>5.0849315068493155</v>
      </c>
      <c r="AB33" s="102">
        <f t="shared" si="8"/>
        <v>8.506849315068493</v>
      </c>
      <c r="AC33" s="103">
        <v>46053</v>
      </c>
    </row>
    <row r="34" spans="1:29" x14ac:dyDescent="0.25">
      <c r="A34" s="4">
        <v>31</v>
      </c>
      <c r="B34" s="133" t="s">
        <v>386</v>
      </c>
      <c r="C34" s="133" t="s">
        <v>599</v>
      </c>
      <c r="D34" s="134">
        <v>42979</v>
      </c>
      <c r="E34" s="134">
        <v>44197</v>
      </c>
      <c r="F34" s="108"/>
      <c r="G34" s="108"/>
      <c r="H34" s="108"/>
      <c r="I34" s="108"/>
      <c r="J34" s="108"/>
      <c r="K34" s="108"/>
      <c r="L34" s="101"/>
      <c r="M34" s="135"/>
      <c r="N34" s="101">
        <f>'2018'!M62</f>
        <v>0</v>
      </c>
      <c r="O34" s="100">
        <f>'2019'!M53</f>
        <v>31</v>
      </c>
      <c r="P34" s="101">
        <v>0</v>
      </c>
      <c r="Q34" s="101">
        <v>0</v>
      </c>
      <c r="R34" s="100">
        <v>63</v>
      </c>
      <c r="S34" s="101">
        <v>34</v>
      </c>
      <c r="T34" s="100">
        <v>40</v>
      </c>
      <c r="U34" s="101">
        <f>'2025'!M29</f>
        <v>32</v>
      </c>
      <c r="V34" s="101"/>
      <c r="W34" s="101">
        <f>SUM(P34:T34)</f>
        <v>137</v>
      </c>
      <c r="X34" s="101">
        <f t="shared" si="2"/>
        <v>27.4</v>
      </c>
      <c r="Y34" s="101">
        <f t="shared" si="3"/>
        <v>13.220821917808227</v>
      </c>
      <c r="Z34" s="58">
        <f t="shared" si="7"/>
        <v>1856</v>
      </c>
      <c r="AA34" s="101">
        <f t="shared" si="4"/>
        <v>5.0849315068493155</v>
      </c>
      <c r="AB34" s="102">
        <f t="shared" si="8"/>
        <v>8.4219178082191775</v>
      </c>
      <c r="AC34" s="103">
        <v>46053</v>
      </c>
    </row>
    <row r="35" spans="1:29" x14ac:dyDescent="0.25">
      <c r="A35" s="4">
        <v>32</v>
      </c>
      <c r="B35" s="133" t="s">
        <v>387</v>
      </c>
      <c r="C35" s="133" t="s">
        <v>521</v>
      </c>
      <c r="D35" s="134">
        <v>43101</v>
      </c>
      <c r="E35" s="134">
        <v>44197</v>
      </c>
      <c r="F35" s="108"/>
      <c r="G35" s="108"/>
      <c r="H35" s="108"/>
      <c r="I35" s="108"/>
      <c r="J35" s="108"/>
      <c r="K35" s="108"/>
      <c r="L35" s="101"/>
      <c r="M35" s="135"/>
      <c r="N35" s="101">
        <f>'2018'!M64</f>
        <v>0</v>
      </c>
      <c r="O35" s="101">
        <f>'2019'!M55</f>
        <v>24</v>
      </c>
      <c r="P35" s="101">
        <v>0</v>
      </c>
      <c r="Q35" s="101">
        <v>0</v>
      </c>
      <c r="R35" s="100">
        <v>46</v>
      </c>
      <c r="S35" s="101">
        <v>28</v>
      </c>
      <c r="T35" s="100">
        <v>34</v>
      </c>
      <c r="U35" s="101">
        <f>'2025'!M30</f>
        <v>0</v>
      </c>
      <c r="V35" s="101"/>
      <c r="W35" s="101">
        <f>SUM(P35:T35)</f>
        <v>108</v>
      </c>
      <c r="X35" s="101">
        <f t="shared" si="2"/>
        <v>21.6</v>
      </c>
      <c r="Y35" s="101">
        <f t="shared" si="3"/>
        <v>42.71342465753424</v>
      </c>
      <c r="Z35" s="58">
        <f t="shared" si="7"/>
        <v>1856</v>
      </c>
      <c r="AA35" s="101">
        <f t="shared" si="4"/>
        <v>5.0849315068493155</v>
      </c>
      <c r="AB35" s="102">
        <f t="shared" si="8"/>
        <v>8.087671232876712</v>
      </c>
      <c r="AC35" s="103">
        <v>46053</v>
      </c>
    </row>
    <row r="36" spans="1:29" ht="16.5" customHeight="1" x14ac:dyDescent="0.25">
      <c r="A36" s="4">
        <v>33</v>
      </c>
      <c r="B36" s="133" t="s">
        <v>388</v>
      </c>
      <c r="C36" s="133" t="s">
        <v>522</v>
      </c>
      <c r="D36" s="134">
        <v>43101</v>
      </c>
      <c r="E36" s="134">
        <v>44197</v>
      </c>
      <c r="F36" s="108"/>
      <c r="G36" s="108"/>
      <c r="H36" s="108"/>
      <c r="I36" s="108"/>
      <c r="J36" s="108"/>
      <c r="K36" s="108"/>
      <c r="L36" s="101"/>
      <c r="M36" s="135"/>
      <c r="N36" s="101">
        <f>'2018'!M65</f>
        <v>0</v>
      </c>
      <c r="O36" s="101">
        <f>'2019'!M56</f>
        <v>0</v>
      </c>
      <c r="P36" s="100">
        <v>165</v>
      </c>
      <c r="Q36" s="101">
        <v>0</v>
      </c>
      <c r="R36" s="101">
        <v>77</v>
      </c>
      <c r="S36" s="101">
        <v>0</v>
      </c>
      <c r="T36" s="100">
        <v>50</v>
      </c>
      <c r="U36" s="101">
        <f>'2025'!M31</f>
        <v>0</v>
      </c>
      <c r="V36" s="101"/>
      <c r="W36" s="101">
        <f>SUM(Q36:T36)</f>
        <v>127</v>
      </c>
      <c r="X36" s="101">
        <f t="shared" si="2"/>
        <v>25.4</v>
      </c>
      <c r="Y36" s="101">
        <f t="shared" si="3"/>
        <v>23.390684931506858</v>
      </c>
      <c r="Z36" s="58">
        <f t="shared" si="7"/>
        <v>1856</v>
      </c>
      <c r="AA36" s="101">
        <f t="shared" si="4"/>
        <v>5.0849315068493155</v>
      </c>
      <c r="AB36" s="102">
        <f t="shared" si="8"/>
        <v>8.087671232876712</v>
      </c>
      <c r="AC36" s="103">
        <v>46053</v>
      </c>
    </row>
    <row r="37" spans="1:29" x14ac:dyDescent="0.25">
      <c r="A37" s="4">
        <v>34</v>
      </c>
      <c r="B37" s="133" t="s">
        <v>389</v>
      </c>
      <c r="C37" s="133" t="s">
        <v>523</v>
      </c>
      <c r="D37" s="134">
        <v>43132</v>
      </c>
      <c r="E37" s="134">
        <v>44197</v>
      </c>
      <c r="F37" s="108"/>
      <c r="G37" s="108"/>
      <c r="H37" s="108"/>
      <c r="I37" s="108"/>
      <c r="J37" s="108"/>
      <c r="K37" s="108"/>
      <c r="L37" s="101"/>
      <c r="M37" s="135"/>
      <c r="N37" s="101">
        <f>'2018'!M66</f>
        <v>0</v>
      </c>
      <c r="O37" s="101">
        <f>'2019'!M57</f>
        <v>0</v>
      </c>
      <c r="P37" s="101">
        <v>0</v>
      </c>
      <c r="Q37" s="100">
        <v>24</v>
      </c>
      <c r="R37" s="100">
        <v>64</v>
      </c>
      <c r="S37" s="101">
        <v>0</v>
      </c>
      <c r="T37" s="100">
        <v>62</v>
      </c>
      <c r="U37" s="101">
        <f>'2025'!M32</f>
        <v>0</v>
      </c>
      <c r="V37" s="101"/>
      <c r="W37" s="101">
        <f>SUM(P37:T37)</f>
        <v>150</v>
      </c>
      <c r="X37" s="101">
        <f t="shared" si="2"/>
        <v>30</v>
      </c>
      <c r="Y37" s="101">
        <f t="shared" si="3"/>
        <v>0</v>
      </c>
      <c r="Z37" s="58">
        <f t="shared" si="7"/>
        <v>1856</v>
      </c>
      <c r="AA37" s="101">
        <f t="shared" si="4"/>
        <v>5.0849315068493155</v>
      </c>
      <c r="AB37" s="102">
        <f t="shared" si="8"/>
        <v>8.0027397260273965</v>
      </c>
      <c r="AC37" s="103">
        <v>46053</v>
      </c>
    </row>
    <row r="38" spans="1:29" x14ac:dyDescent="0.25">
      <c r="A38" s="4">
        <v>35</v>
      </c>
      <c r="B38" s="133" t="s">
        <v>390</v>
      </c>
      <c r="C38" s="133" t="s">
        <v>524</v>
      </c>
      <c r="D38" s="134">
        <v>43191</v>
      </c>
      <c r="E38" s="134">
        <v>44197</v>
      </c>
      <c r="F38" s="111"/>
      <c r="G38" s="111"/>
      <c r="H38" s="111"/>
      <c r="I38" s="111"/>
      <c r="J38" s="111"/>
      <c r="K38" s="111"/>
      <c r="L38" s="112"/>
      <c r="M38" s="136"/>
      <c r="N38" s="112">
        <f>'2018'!M67</f>
        <v>0</v>
      </c>
      <c r="O38" s="112">
        <f>'2019'!M58</f>
        <v>7</v>
      </c>
      <c r="P38" s="113">
        <v>97</v>
      </c>
      <c r="Q38" s="112">
        <v>0</v>
      </c>
      <c r="R38" s="112">
        <v>0</v>
      </c>
      <c r="S38" s="100">
        <v>63</v>
      </c>
      <c r="T38" s="101">
        <v>0</v>
      </c>
      <c r="U38" s="100">
        <f>'2025'!M33</f>
        <v>61</v>
      </c>
      <c r="V38" s="101"/>
      <c r="W38" s="101">
        <f>SUM(P38:T38)</f>
        <v>160</v>
      </c>
      <c r="X38" s="101">
        <f t="shared" si="2"/>
        <v>32</v>
      </c>
      <c r="Y38" s="101">
        <f t="shared" si="3"/>
        <v>-10.169863013698631</v>
      </c>
      <c r="Z38" s="58">
        <f t="shared" si="7"/>
        <v>1856</v>
      </c>
      <c r="AA38" s="101">
        <f t="shared" si="4"/>
        <v>5.0849315068493155</v>
      </c>
      <c r="AB38" s="102">
        <f t="shared" si="8"/>
        <v>7.8410958904109593</v>
      </c>
      <c r="AC38" s="103">
        <v>46053</v>
      </c>
    </row>
    <row r="39" spans="1:29" s="69" customFormat="1" ht="15.75" customHeight="1" x14ac:dyDescent="0.25">
      <c r="A39" s="4">
        <v>36</v>
      </c>
      <c r="B39" s="133" t="s">
        <v>392</v>
      </c>
      <c r="C39" s="133" t="s">
        <v>526</v>
      </c>
      <c r="D39" s="134">
        <v>43282</v>
      </c>
      <c r="E39" s="134">
        <v>44197</v>
      </c>
      <c r="F39" s="108"/>
      <c r="G39" s="108"/>
      <c r="H39" s="108"/>
      <c r="I39" s="108"/>
      <c r="J39" s="108"/>
      <c r="K39" s="108"/>
      <c r="L39" s="101"/>
      <c r="M39" s="135"/>
      <c r="N39" s="101">
        <f>'2018'!M69</f>
        <v>0</v>
      </c>
      <c r="O39" s="101">
        <f>'2019'!M60</f>
        <v>13</v>
      </c>
      <c r="P39" s="101">
        <v>27</v>
      </c>
      <c r="Q39" s="100">
        <v>55</v>
      </c>
      <c r="R39" s="100">
        <v>45</v>
      </c>
      <c r="S39" s="101">
        <v>51</v>
      </c>
      <c r="T39" s="101">
        <v>31</v>
      </c>
      <c r="U39" s="101">
        <f>'2025'!M34</f>
        <v>7</v>
      </c>
      <c r="V39" s="101"/>
      <c r="W39" s="101">
        <f>SUM(Q39:U39)</f>
        <v>189</v>
      </c>
      <c r="X39" s="101">
        <f t="shared" si="2"/>
        <v>37.799999999999997</v>
      </c>
      <c r="Y39" s="101">
        <f t="shared" si="3"/>
        <v>-39.662465753424648</v>
      </c>
      <c r="Z39" s="58">
        <f t="shared" si="7"/>
        <v>1856</v>
      </c>
      <c r="AA39" s="101">
        <f t="shared" si="4"/>
        <v>5.0849315068493155</v>
      </c>
      <c r="AB39" s="102">
        <f t="shared" si="8"/>
        <v>7.5917808219178085</v>
      </c>
      <c r="AC39" s="103">
        <v>46053</v>
      </c>
    </row>
    <row r="40" spans="1:29" x14ac:dyDescent="0.25">
      <c r="A40" s="4">
        <v>37</v>
      </c>
      <c r="B40" s="133" t="s">
        <v>393</v>
      </c>
      <c r="C40" s="133" t="s">
        <v>527</v>
      </c>
      <c r="D40" s="134">
        <v>43466</v>
      </c>
      <c r="E40" s="134">
        <v>44197</v>
      </c>
      <c r="F40" s="108"/>
      <c r="G40" s="108"/>
      <c r="H40" s="108"/>
      <c r="I40" s="108"/>
      <c r="J40" s="108"/>
      <c r="K40" s="108"/>
      <c r="L40" s="101"/>
      <c r="M40" s="135"/>
      <c r="N40" s="101">
        <v>0</v>
      </c>
      <c r="O40" s="101">
        <f>'2019'!M63</f>
        <v>0</v>
      </c>
      <c r="P40" s="101">
        <v>0</v>
      </c>
      <c r="Q40" s="100">
        <v>27</v>
      </c>
      <c r="R40" s="100">
        <v>33</v>
      </c>
      <c r="S40" s="101">
        <v>0</v>
      </c>
      <c r="T40" s="100">
        <v>61</v>
      </c>
      <c r="U40" s="101">
        <f>'2025'!M35</f>
        <v>0</v>
      </c>
      <c r="V40" s="101"/>
      <c r="W40" s="101">
        <f t="shared" ref="W40:W47" si="10">SUM(P40:T40)</f>
        <v>121</v>
      </c>
      <c r="X40" s="101">
        <f t="shared" si="2"/>
        <v>24.2</v>
      </c>
      <c r="Y40" s="101">
        <f t="shared" si="3"/>
        <v>32.845479452054796</v>
      </c>
      <c r="Z40" s="58">
        <f t="shared" si="7"/>
        <v>2067</v>
      </c>
      <c r="AA40" s="101">
        <f t="shared" si="4"/>
        <v>5.6630136986301371</v>
      </c>
      <c r="AB40" s="102">
        <f t="shared" si="8"/>
        <v>7.6657534246575345</v>
      </c>
      <c r="AC40" s="103">
        <v>46264</v>
      </c>
    </row>
    <row r="41" spans="1:29" x14ac:dyDescent="0.25">
      <c r="A41" s="4">
        <v>38</v>
      </c>
      <c r="B41" s="133" t="s">
        <v>394</v>
      </c>
      <c r="C41" s="133" t="s">
        <v>528</v>
      </c>
      <c r="D41" s="134">
        <v>43497</v>
      </c>
      <c r="E41" s="134">
        <v>44197</v>
      </c>
      <c r="F41" s="108"/>
      <c r="G41" s="108"/>
      <c r="H41" s="108"/>
      <c r="I41" s="108"/>
      <c r="J41" s="108"/>
      <c r="K41" s="108"/>
      <c r="L41" s="101"/>
      <c r="M41" s="135"/>
      <c r="N41" s="101"/>
      <c r="O41" s="101"/>
      <c r="P41" s="101">
        <v>0</v>
      </c>
      <c r="Q41" s="100">
        <v>138</v>
      </c>
      <c r="R41" s="101">
        <v>0</v>
      </c>
      <c r="S41" s="101">
        <v>0</v>
      </c>
      <c r="T41" s="101">
        <v>0</v>
      </c>
      <c r="U41" s="101">
        <f>'2025'!M36</f>
        <v>0</v>
      </c>
      <c r="V41" s="101"/>
      <c r="W41" s="101">
        <f t="shared" si="10"/>
        <v>138</v>
      </c>
      <c r="X41" s="101">
        <f t="shared" si="2"/>
        <v>27.6</v>
      </c>
      <c r="Y41" s="101">
        <f t="shared" si="3"/>
        <v>12.203835616438351</v>
      </c>
      <c r="Z41" s="58">
        <f t="shared" si="7"/>
        <v>1856</v>
      </c>
      <c r="AA41" s="101">
        <f t="shared" si="4"/>
        <v>5.0849315068493155</v>
      </c>
      <c r="AB41" s="102">
        <f t="shared" si="8"/>
        <v>7.0027397260273974</v>
      </c>
      <c r="AC41" s="103">
        <v>46053</v>
      </c>
    </row>
    <row r="42" spans="1:29" ht="16.5" customHeight="1" x14ac:dyDescent="0.25">
      <c r="A42" s="4">
        <v>39</v>
      </c>
      <c r="B42" s="133" t="s">
        <v>396</v>
      </c>
      <c r="C42" s="133" t="s">
        <v>530</v>
      </c>
      <c r="D42" s="134">
        <v>43617</v>
      </c>
      <c r="E42" s="134">
        <v>44197</v>
      </c>
      <c r="F42" s="108"/>
      <c r="G42" s="108"/>
      <c r="H42" s="108"/>
      <c r="I42" s="108"/>
      <c r="J42" s="108"/>
      <c r="K42" s="108"/>
      <c r="L42" s="101"/>
      <c r="M42" s="135"/>
      <c r="N42" s="101"/>
      <c r="O42" s="101">
        <f>'2019'!M67</f>
        <v>0</v>
      </c>
      <c r="P42" s="101">
        <v>0</v>
      </c>
      <c r="Q42" s="101">
        <v>0</v>
      </c>
      <c r="R42" s="100">
        <v>61</v>
      </c>
      <c r="S42" s="101">
        <v>0</v>
      </c>
      <c r="T42" s="100">
        <v>63</v>
      </c>
      <c r="U42" s="101">
        <f>'2025'!M37</f>
        <v>0</v>
      </c>
      <c r="V42" s="101"/>
      <c r="W42" s="101">
        <f t="shared" si="10"/>
        <v>124</v>
      </c>
      <c r="X42" s="101">
        <f t="shared" si="2"/>
        <v>24.8</v>
      </c>
      <c r="Y42" s="101">
        <f t="shared" si="3"/>
        <v>26.441643835616436</v>
      </c>
      <c r="Z42" s="58">
        <f t="shared" si="7"/>
        <v>1856</v>
      </c>
      <c r="AA42" s="101">
        <f t="shared" si="4"/>
        <v>5.0849315068493155</v>
      </c>
      <c r="AB42" s="102">
        <f t="shared" si="8"/>
        <v>6.6739726027397257</v>
      </c>
      <c r="AC42" s="103">
        <v>46053</v>
      </c>
    </row>
    <row r="43" spans="1:29" x14ac:dyDescent="0.25">
      <c r="A43" s="4">
        <v>40</v>
      </c>
      <c r="B43" s="133" t="s">
        <v>397</v>
      </c>
      <c r="C43" s="133" t="s">
        <v>531</v>
      </c>
      <c r="D43" s="134">
        <v>43617</v>
      </c>
      <c r="E43" s="134">
        <v>44197</v>
      </c>
      <c r="F43" s="108"/>
      <c r="G43" s="108"/>
      <c r="H43" s="108"/>
      <c r="I43" s="108"/>
      <c r="J43" s="108"/>
      <c r="K43" s="108"/>
      <c r="L43" s="101"/>
      <c r="M43" s="135"/>
      <c r="N43" s="101"/>
      <c r="O43" s="101">
        <f>'2019'!M68</f>
        <v>0</v>
      </c>
      <c r="P43" s="101">
        <v>0</v>
      </c>
      <c r="Q43" s="100">
        <v>91</v>
      </c>
      <c r="R43" s="101">
        <v>0</v>
      </c>
      <c r="S43" s="101">
        <v>0</v>
      </c>
      <c r="T43" s="100">
        <v>45</v>
      </c>
      <c r="U43" s="101">
        <f>'2025'!M38</f>
        <v>18</v>
      </c>
      <c r="V43" s="101"/>
      <c r="W43" s="101">
        <f>SUM(P43:U43)</f>
        <v>154</v>
      </c>
      <c r="X43" s="101">
        <f t="shared" si="2"/>
        <v>30.8</v>
      </c>
      <c r="Y43" s="101">
        <f t="shared" si="3"/>
        <v>-4.0460273972602776</v>
      </c>
      <c r="Z43" s="58">
        <f t="shared" ref="Z43:Z74" si="11">AC43-E43</f>
        <v>1846</v>
      </c>
      <c r="AA43" s="101">
        <f t="shared" si="4"/>
        <v>5.0575342465753428</v>
      </c>
      <c r="AB43" s="102">
        <f t="shared" si="8"/>
        <v>6.646575342465753</v>
      </c>
      <c r="AC43" s="103">
        <v>46043</v>
      </c>
    </row>
    <row r="44" spans="1:29" x14ac:dyDescent="0.25">
      <c r="A44" s="4">
        <v>41</v>
      </c>
      <c r="B44" s="133" t="s">
        <v>399</v>
      </c>
      <c r="C44" s="133" t="s">
        <v>533</v>
      </c>
      <c r="D44" s="134">
        <v>43617</v>
      </c>
      <c r="E44" s="134">
        <v>44197</v>
      </c>
      <c r="F44" s="108"/>
      <c r="G44" s="108"/>
      <c r="H44" s="108"/>
      <c r="I44" s="108"/>
      <c r="J44" s="108"/>
      <c r="K44" s="108"/>
      <c r="L44" s="101"/>
      <c r="M44" s="135"/>
      <c r="N44" s="101"/>
      <c r="O44" s="101">
        <f>'2019'!M66</f>
        <v>0</v>
      </c>
      <c r="P44" s="101">
        <v>0</v>
      </c>
      <c r="Q44" s="101">
        <v>0</v>
      </c>
      <c r="R44" s="100">
        <v>108</v>
      </c>
      <c r="S44" s="101">
        <v>0</v>
      </c>
      <c r="T44" s="100">
        <v>39</v>
      </c>
      <c r="U44" s="101">
        <f>'2025'!M39</f>
        <v>0</v>
      </c>
      <c r="V44" s="101"/>
      <c r="W44" s="101">
        <f t="shared" si="10"/>
        <v>147</v>
      </c>
      <c r="X44" s="101">
        <f t="shared" si="2"/>
        <v>29.4</v>
      </c>
      <c r="Y44" s="101">
        <f t="shared" si="3"/>
        <v>3.0509589041095966</v>
      </c>
      <c r="Z44" s="58">
        <f t="shared" si="11"/>
        <v>1856</v>
      </c>
      <c r="AA44" s="101">
        <f t="shared" si="4"/>
        <v>5.0849315068493155</v>
      </c>
      <c r="AB44" s="102">
        <f t="shared" si="8"/>
        <v>6.6739726027397257</v>
      </c>
      <c r="AC44" s="103">
        <v>46053</v>
      </c>
    </row>
    <row r="45" spans="1:29" x14ac:dyDescent="0.25">
      <c r="A45" s="4">
        <v>42</v>
      </c>
      <c r="B45" s="133" t="s">
        <v>401</v>
      </c>
      <c r="C45" s="133" t="s">
        <v>278</v>
      </c>
      <c r="D45" s="134">
        <v>43739</v>
      </c>
      <c r="E45" s="134">
        <v>43876</v>
      </c>
      <c r="F45" s="108"/>
      <c r="G45" s="108"/>
      <c r="H45" s="108"/>
      <c r="I45" s="108"/>
      <c r="J45" s="108"/>
      <c r="K45" s="108"/>
      <c r="L45" s="101"/>
      <c r="M45" s="135"/>
      <c r="N45" s="101"/>
      <c r="O45" s="101">
        <f>'2019'!M73</f>
        <v>0</v>
      </c>
      <c r="P45" s="101">
        <v>0</v>
      </c>
      <c r="Q45" s="101">
        <v>0</v>
      </c>
      <c r="R45" s="100">
        <v>60</v>
      </c>
      <c r="S45" s="101">
        <v>0</v>
      </c>
      <c r="T45" s="101">
        <v>0</v>
      </c>
      <c r="U45" s="100">
        <f>'2025'!M40</f>
        <v>59</v>
      </c>
      <c r="V45" s="101"/>
      <c r="W45" s="101">
        <f t="shared" si="10"/>
        <v>60</v>
      </c>
      <c r="X45" s="101">
        <f t="shared" si="2"/>
        <v>12</v>
      </c>
      <c r="Y45" s="101">
        <f t="shared" si="3"/>
        <v>107.35890410958903</v>
      </c>
      <c r="Z45" s="58">
        <f t="shared" si="11"/>
        <v>2177</v>
      </c>
      <c r="AA45" s="101">
        <f t="shared" si="4"/>
        <v>5.9643835616438352</v>
      </c>
      <c r="AB45" s="102">
        <f t="shared" si="8"/>
        <v>6.3397260273972602</v>
      </c>
      <c r="AC45" s="103">
        <v>46053</v>
      </c>
    </row>
    <row r="46" spans="1:29" x14ac:dyDescent="0.25">
      <c r="A46" s="4">
        <v>43</v>
      </c>
      <c r="B46" s="133" t="s">
        <v>403</v>
      </c>
      <c r="C46" s="133" t="s">
        <v>537</v>
      </c>
      <c r="D46" s="134">
        <v>44105</v>
      </c>
      <c r="E46" s="134">
        <v>44105</v>
      </c>
      <c r="F46" s="58"/>
      <c r="G46" s="58"/>
      <c r="H46" s="58"/>
      <c r="I46" s="58"/>
      <c r="J46" s="58"/>
      <c r="K46" s="58"/>
      <c r="L46" s="58"/>
      <c r="M46" s="135"/>
      <c r="N46" s="58"/>
      <c r="O46" s="58"/>
      <c r="P46" s="58"/>
      <c r="Q46" s="101">
        <v>0</v>
      </c>
      <c r="R46" s="101">
        <v>0</v>
      </c>
      <c r="S46" s="100">
        <v>62</v>
      </c>
      <c r="T46" s="101">
        <v>38</v>
      </c>
      <c r="U46" s="101">
        <f>'2025'!M41</f>
        <v>0</v>
      </c>
      <c r="V46" s="101"/>
      <c r="W46" s="101">
        <f t="shared" si="10"/>
        <v>100</v>
      </c>
      <c r="X46" s="101">
        <f t="shared" si="2"/>
        <v>20</v>
      </c>
      <c r="Y46" s="101">
        <f t="shared" si="3"/>
        <v>53.369863013698627</v>
      </c>
      <c r="Z46" s="58">
        <f t="shared" si="11"/>
        <v>1948</v>
      </c>
      <c r="AA46" s="101">
        <f t="shared" si="4"/>
        <v>5.3369863013698629</v>
      </c>
      <c r="AB46" s="102">
        <f t="shared" si="8"/>
        <v>5.3369863013698629</v>
      </c>
      <c r="AC46" s="103">
        <v>46053</v>
      </c>
    </row>
    <row r="47" spans="1:29" x14ac:dyDescent="0.25">
      <c r="A47" s="4">
        <v>44</v>
      </c>
      <c r="B47" s="133" t="s">
        <v>404</v>
      </c>
      <c r="C47" s="133" t="s">
        <v>292</v>
      </c>
      <c r="D47" s="134">
        <v>44166</v>
      </c>
      <c r="E47" s="134">
        <v>44166</v>
      </c>
      <c r="F47" s="58"/>
      <c r="G47" s="58"/>
      <c r="H47" s="58"/>
      <c r="I47" s="58"/>
      <c r="J47" s="58"/>
      <c r="K47" s="58"/>
      <c r="L47" s="58"/>
      <c r="M47" s="135"/>
      <c r="N47" s="58"/>
      <c r="O47" s="58"/>
      <c r="P47" s="58"/>
      <c r="Q47" s="101">
        <v>0</v>
      </c>
      <c r="R47" s="101">
        <v>42</v>
      </c>
      <c r="S47" s="101">
        <v>0</v>
      </c>
      <c r="T47" s="101">
        <v>0</v>
      </c>
      <c r="U47" s="100">
        <f>'2025'!M42</f>
        <v>97</v>
      </c>
      <c r="V47" s="101"/>
      <c r="W47" s="101">
        <f t="shared" si="10"/>
        <v>42</v>
      </c>
      <c r="X47" s="101">
        <f>W47/4.17</f>
        <v>10.071942446043165</v>
      </c>
      <c r="Y47" s="101">
        <f t="shared" si="3"/>
        <v>103.02532768305902</v>
      </c>
      <c r="Z47" s="58">
        <f t="shared" si="11"/>
        <v>1887</v>
      </c>
      <c r="AA47" s="101">
        <f t="shared" si="4"/>
        <v>5.1698630136986301</v>
      </c>
      <c r="AB47" s="102">
        <f t="shared" si="8"/>
        <v>5.1698630136986301</v>
      </c>
      <c r="AC47" s="103">
        <v>46053</v>
      </c>
    </row>
    <row r="48" spans="1:29" ht="15" customHeight="1" x14ac:dyDescent="0.25">
      <c r="A48" s="4">
        <v>45</v>
      </c>
      <c r="B48" s="133" t="s">
        <v>405</v>
      </c>
      <c r="C48" s="133" t="s">
        <v>538</v>
      </c>
      <c r="D48" s="134">
        <v>44166</v>
      </c>
      <c r="E48" s="134">
        <v>44244</v>
      </c>
      <c r="F48" s="103"/>
      <c r="G48" s="103"/>
      <c r="H48" s="58"/>
      <c r="I48" s="58"/>
      <c r="J48" s="58"/>
      <c r="K48" s="58"/>
      <c r="L48" s="58"/>
      <c r="M48" s="135"/>
      <c r="N48" s="58"/>
      <c r="O48" s="58"/>
      <c r="P48" s="58"/>
      <c r="Q48" s="101">
        <v>0</v>
      </c>
      <c r="R48" s="101">
        <v>0</v>
      </c>
      <c r="S48" s="100">
        <v>60</v>
      </c>
      <c r="T48" s="101">
        <v>7</v>
      </c>
      <c r="U48" s="100">
        <f>'2025'!M43</f>
        <v>91</v>
      </c>
      <c r="V48" s="101"/>
      <c r="W48" s="101">
        <f>SUM(Q48:U48)</f>
        <v>158</v>
      </c>
      <c r="X48" s="101">
        <f>W48/5</f>
        <v>31.6</v>
      </c>
      <c r="Y48" s="101">
        <f t="shared" si="3"/>
        <v>-8.1884931506849377</v>
      </c>
      <c r="Z48" s="58">
        <f t="shared" si="11"/>
        <v>1868</v>
      </c>
      <c r="AA48" s="101">
        <f t="shared" si="4"/>
        <v>5.117808219178082</v>
      </c>
      <c r="AB48" s="102">
        <f>SUM(AC48-E48)/365</f>
        <v>5.117808219178082</v>
      </c>
      <c r="AC48" s="103">
        <v>46112</v>
      </c>
    </row>
    <row r="49" spans="1:29" x14ac:dyDescent="0.25">
      <c r="A49" s="4">
        <v>46</v>
      </c>
      <c r="B49" s="133" t="s">
        <v>407</v>
      </c>
      <c r="C49" s="133" t="s">
        <v>540</v>
      </c>
      <c r="D49" s="134">
        <v>44197</v>
      </c>
      <c r="E49" s="134">
        <v>44197</v>
      </c>
      <c r="F49" s="58"/>
      <c r="G49" s="58"/>
      <c r="H49" s="58"/>
      <c r="I49" s="58"/>
      <c r="J49" s="58"/>
      <c r="K49" s="58"/>
      <c r="L49" s="58"/>
      <c r="M49" s="135"/>
      <c r="N49" s="58"/>
      <c r="O49" s="58"/>
      <c r="P49" s="58"/>
      <c r="Q49" s="101">
        <v>0</v>
      </c>
      <c r="R49" s="101">
        <v>35</v>
      </c>
      <c r="S49" s="101">
        <v>0</v>
      </c>
      <c r="T49" s="100">
        <v>55</v>
      </c>
      <c r="U49" s="101">
        <f>'2025'!M44</f>
        <v>31</v>
      </c>
      <c r="V49" s="101"/>
      <c r="W49" s="101">
        <f t="shared" ref="W49:W63" si="12">SUM(P49:T49)</f>
        <v>90</v>
      </c>
      <c r="X49" s="101">
        <f t="shared" si="2"/>
        <v>18</v>
      </c>
      <c r="Y49" s="101">
        <f t="shared" si="3"/>
        <v>61.019178082191786</v>
      </c>
      <c r="Z49" s="58">
        <f t="shared" si="11"/>
        <v>1856</v>
      </c>
      <c r="AA49" s="101">
        <f t="shared" si="4"/>
        <v>5.0849315068493155</v>
      </c>
      <c r="AB49" s="102">
        <f t="shared" ref="AB49:AB86" si="13">SUM(AC49-D49)/365</f>
        <v>5.0849315068493155</v>
      </c>
      <c r="AC49" s="103">
        <v>46053</v>
      </c>
    </row>
    <row r="50" spans="1:29" x14ac:dyDescent="0.25">
      <c r="A50" s="4">
        <v>47</v>
      </c>
      <c r="B50" s="133" t="s">
        <v>408</v>
      </c>
      <c r="C50" s="133" t="s">
        <v>541</v>
      </c>
      <c r="D50" s="134">
        <v>44197</v>
      </c>
      <c r="E50" s="134">
        <v>44297</v>
      </c>
      <c r="F50" s="58"/>
      <c r="G50" s="58"/>
      <c r="H50" s="58"/>
      <c r="I50" s="58"/>
      <c r="J50" s="58"/>
      <c r="K50" s="58"/>
      <c r="L50" s="58"/>
      <c r="M50" s="135"/>
      <c r="N50" s="58"/>
      <c r="O50" s="58"/>
      <c r="P50" s="58"/>
      <c r="Q50" s="101">
        <v>0</v>
      </c>
      <c r="R50" s="101">
        <v>0</v>
      </c>
      <c r="S50" s="100">
        <v>60</v>
      </c>
      <c r="T50" s="101">
        <v>35</v>
      </c>
      <c r="U50" s="101">
        <f>'2025'!M45</f>
        <v>0</v>
      </c>
      <c r="V50" s="101"/>
      <c r="W50" s="101">
        <f t="shared" si="12"/>
        <v>95</v>
      </c>
      <c r="X50" s="101">
        <f>W50/4.7</f>
        <v>20.212765957446809</v>
      </c>
      <c r="Y50" s="101">
        <f t="shared" si="3"/>
        <v>47.085980763625763</v>
      </c>
      <c r="Z50" s="58">
        <f t="shared" si="11"/>
        <v>1756</v>
      </c>
      <c r="AA50" s="101">
        <f t="shared" si="4"/>
        <v>4.8109589041095893</v>
      </c>
      <c r="AB50" s="102">
        <f t="shared" si="13"/>
        <v>5.0849315068493155</v>
      </c>
      <c r="AC50" s="103">
        <v>46053</v>
      </c>
    </row>
    <row r="51" spans="1:29" x14ac:dyDescent="0.25">
      <c r="A51" s="4">
        <v>48</v>
      </c>
      <c r="B51" s="133" t="s">
        <v>412</v>
      </c>
      <c r="C51" s="133" t="s">
        <v>305</v>
      </c>
      <c r="D51" s="134">
        <v>44287</v>
      </c>
      <c r="E51" s="134">
        <v>44287</v>
      </c>
      <c r="F51" s="58"/>
      <c r="G51" s="58"/>
      <c r="H51" s="58"/>
      <c r="I51" s="58"/>
      <c r="J51" s="58"/>
      <c r="K51" s="58"/>
      <c r="L51" s="58"/>
      <c r="M51" s="135"/>
      <c r="N51" s="58"/>
      <c r="O51" s="58"/>
      <c r="P51" s="58"/>
      <c r="Q51" s="101">
        <v>0</v>
      </c>
      <c r="R51" s="101">
        <v>15</v>
      </c>
      <c r="S51" s="101">
        <v>32</v>
      </c>
      <c r="T51" s="100">
        <v>40</v>
      </c>
      <c r="U51" s="100">
        <f>'2025'!M46</f>
        <v>54</v>
      </c>
      <c r="V51" s="101"/>
      <c r="W51" s="101">
        <f t="shared" si="12"/>
        <v>87</v>
      </c>
      <c r="X51" s="101">
        <f t="shared" si="2"/>
        <v>17.399999999999999</v>
      </c>
      <c r="Y51" s="101">
        <f t="shared" si="3"/>
        <v>60.963287671232891</v>
      </c>
      <c r="Z51" s="58">
        <f t="shared" si="11"/>
        <v>1766</v>
      </c>
      <c r="AA51" s="101">
        <f t="shared" si="4"/>
        <v>4.838356164383562</v>
      </c>
      <c r="AB51" s="102">
        <f t="shared" si="13"/>
        <v>4.838356164383562</v>
      </c>
      <c r="AC51" s="103">
        <v>46053</v>
      </c>
    </row>
    <row r="52" spans="1:29" x14ac:dyDescent="0.25">
      <c r="A52" s="4">
        <v>49</v>
      </c>
      <c r="B52" s="133" t="s">
        <v>414</v>
      </c>
      <c r="C52" s="133" t="s">
        <v>308</v>
      </c>
      <c r="D52" s="134">
        <v>44378</v>
      </c>
      <c r="E52" s="134">
        <v>44378</v>
      </c>
      <c r="F52" s="58"/>
      <c r="G52" s="58"/>
      <c r="H52" s="58"/>
      <c r="I52" s="58"/>
      <c r="J52" s="58"/>
      <c r="K52" s="58"/>
      <c r="L52" s="58"/>
      <c r="M52" s="135"/>
      <c r="N52" s="58"/>
      <c r="O52" s="58"/>
      <c r="P52" s="58"/>
      <c r="Q52" s="101">
        <v>0</v>
      </c>
      <c r="R52" s="101">
        <v>0</v>
      </c>
      <c r="S52" s="101">
        <v>0</v>
      </c>
      <c r="T52" s="100">
        <v>39</v>
      </c>
      <c r="U52" s="100">
        <f>'2025'!M47</f>
        <v>93</v>
      </c>
      <c r="V52" s="101"/>
      <c r="W52" s="101">
        <f t="shared" si="12"/>
        <v>39</v>
      </c>
      <c r="X52" s="101">
        <f>W52/3.51</f>
        <v>11.111111111111112</v>
      </c>
      <c r="Y52" s="101">
        <f t="shared" si="3"/>
        <v>86.681887366818856</v>
      </c>
      <c r="Z52" s="58">
        <f t="shared" si="11"/>
        <v>1675</v>
      </c>
      <c r="AA52" s="101">
        <f t="shared" si="4"/>
        <v>4.5890410958904111</v>
      </c>
      <c r="AB52" s="102">
        <f t="shared" si="13"/>
        <v>4.5890410958904111</v>
      </c>
      <c r="AC52" s="103">
        <v>46053</v>
      </c>
    </row>
    <row r="53" spans="1:29" x14ac:dyDescent="0.25">
      <c r="A53" s="4">
        <v>50</v>
      </c>
      <c r="B53" s="133" t="s">
        <v>415</v>
      </c>
      <c r="C53" s="133" t="s">
        <v>546</v>
      </c>
      <c r="D53" s="134">
        <v>44378</v>
      </c>
      <c r="E53" s="134">
        <v>44378</v>
      </c>
      <c r="F53" s="58"/>
      <c r="G53" s="58"/>
      <c r="H53" s="58"/>
      <c r="I53" s="58"/>
      <c r="J53" s="58"/>
      <c r="K53" s="58"/>
      <c r="L53" s="58"/>
      <c r="M53" s="135"/>
      <c r="N53" s="58"/>
      <c r="O53" s="58"/>
      <c r="P53" s="58"/>
      <c r="Q53" s="101">
        <v>0</v>
      </c>
      <c r="R53" s="101">
        <v>0</v>
      </c>
      <c r="S53" s="101">
        <v>0</v>
      </c>
      <c r="T53" s="100">
        <v>61</v>
      </c>
      <c r="U53" s="101">
        <f>'2025'!M48</f>
        <v>0</v>
      </c>
      <c r="V53" s="101"/>
      <c r="W53" s="101">
        <f t="shared" si="12"/>
        <v>61</v>
      </c>
      <c r="X53" s="101">
        <f>W53/3.5</f>
        <v>17.428571428571427</v>
      </c>
      <c r="Y53" s="101">
        <f t="shared" si="3"/>
        <v>57.690802348336604</v>
      </c>
      <c r="Z53" s="58">
        <f t="shared" si="11"/>
        <v>1675</v>
      </c>
      <c r="AA53" s="101">
        <f t="shared" si="4"/>
        <v>4.5890410958904111</v>
      </c>
      <c r="AB53" s="102">
        <f t="shared" si="13"/>
        <v>4.5890410958904111</v>
      </c>
      <c r="AC53" s="103">
        <v>46053</v>
      </c>
    </row>
    <row r="54" spans="1:29" x14ac:dyDescent="0.25">
      <c r="A54" s="4">
        <v>51</v>
      </c>
      <c r="B54" s="133" t="s">
        <v>416</v>
      </c>
      <c r="C54" s="133" t="s">
        <v>547</v>
      </c>
      <c r="D54" s="134">
        <v>44409</v>
      </c>
      <c r="E54" s="134">
        <v>44502</v>
      </c>
      <c r="F54" s="58"/>
      <c r="G54" s="58"/>
      <c r="H54" s="58"/>
      <c r="I54" s="58"/>
      <c r="J54" s="58"/>
      <c r="K54" s="58"/>
      <c r="L54" s="58"/>
      <c r="M54" s="135"/>
      <c r="N54" s="58"/>
      <c r="O54" s="58"/>
      <c r="P54" s="58"/>
      <c r="Q54" s="101">
        <v>0</v>
      </c>
      <c r="R54" s="101">
        <v>0</v>
      </c>
      <c r="S54" s="101">
        <v>0</v>
      </c>
      <c r="T54" s="100">
        <v>131</v>
      </c>
      <c r="U54" s="101">
        <f>'2025'!M49</f>
        <v>0</v>
      </c>
      <c r="V54" s="101"/>
      <c r="W54" s="101">
        <f t="shared" si="12"/>
        <v>131</v>
      </c>
      <c r="X54" s="101">
        <f>W54/4.5</f>
        <v>29.111111111111111</v>
      </c>
      <c r="Y54" s="101">
        <f t="shared" si="3"/>
        <v>4.0694063926940656</v>
      </c>
      <c r="Z54" s="58">
        <f t="shared" si="11"/>
        <v>1671</v>
      </c>
      <c r="AA54" s="101">
        <f t="shared" si="4"/>
        <v>4.5780821917808217</v>
      </c>
      <c r="AB54" s="102">
        <f t="shared" si="13"/>
        <v>4.8328767123287673</v>
      </c>
      <c r="AC54" s="103">
        <v>46173</v>
      </c>
    </row>
    <row r="55" spans="1:29" x14ac:dyDescent="0.25">
      <c r="A55" s="4">
        <v>52</v>
      </c>
      <c r="B55" s="133" t="s">
        <v>417</v>
      </c>
      <c r="C55" s="133" t="s">
        <v>548</v>
      </c>
      <c r="D55" s="134">
        <v>44378</v>
      </c>
      <c r="E55" s="134">
        <v>44501</v>
      </c>
      <c r="F55" s="58"/>
      <c r="G55" s="58"/>
      <c r="H55" s="58"/>
      <c r="I55" s="58"/>
      <c r="J55" s="58"/>
      <c r="K55" s="58"/>
      <c r="L55" s="58"/>
      <c r="M55" s="135"/>
      <c r="N55" s="58"/>
      <c r="O55" s="58"/>
      <c r="P55" s="58"/>
      <c r="Q55" s="101">
        <v>0</v>
      </c>
      <c r="R55" s="101">
        <v>0</v>
      </c>
      <c r="S55" s="100">
        <v>12</v>
      </c>
      <c r="T55" s="101">
        <v>48</v>
      </c>
      <c r="U55" s="101">
        <f>'2025'!M50</f>
        <v>15</v>
      </c>
      <c r="V55" s="101">
        <f>'2026'!M50</f>
        <v>46</v>
      </c>
      <c r="W55" s="101">
        <f>SUM(P55:V55)</f>
        <v>121</v>
      </c>
      <c r="X55" s="101">
        <f t="shared" si="2"/>
        <v>24.2</v>
      </c>
      <c r="Y55" s="101">
        <f t="shared" si="3"/>
        <v>24.661917808219183</v>
      </c>
      <c r="Z55" s="58">
        <f t="shared" si="11"/>
        <v>1552</v>
      </c>
      <c r="AA55" s="101">
        <f t="shared" si="4"/>
        <v>4.2520547945205482</v>
      </c>
      <c r="AB55" s="102">
        <f t="shared" si="13"/>
        <v>4.5890410958904111</v>
      </c>
      <c r="AC55" s="103">
        <v>46053</v>
      </c>
    </row>
    <row r="56" spans="1:29" x14ac:dyDescent="0.25">
      <c r="A56" s="4">
        <v>53</v>
      </c>
      <c r="B56" s="133" t="s">
        <v>419</v>
      </c>
      <c r="C56" s="133" t="s">
        <v>550</v>
      </c>
      <c r="D56" s="134">
        <v>44470</v>
      </c>
      <c r="E56" s="134">
        <v>44528</v>
      </c>
      <c r="F56" s="58"/>
      <c r="G56" s="58"/>
      <c r="H56" s="58"/>
      <c r="I56" s="58"/>
      <c r="J56" s="58"/>
      <c r="K56" s="58"/>
      <c r="L56" s="58"/>
      <c r="M56" s="135"/>
      <c r="N56" s="58"/>
      <c r="O56" s="58"/>
      <c r="P56" s="58"/>
      <c r="Q56" s="101">
        <v>0</v>
      </c>
      <c r="R56" s="101">
        <v>0</v>
      </c>
      <c r="S56" s="101">
        <v>0</v>
      </c>
      <c r="T56" s="100">
        <v>61</v>
      </c>
      <c r="U56" s="101">
        <f>'2025'!M51</f>
        <v>0</v>
      </c>
      <c r="V56" s="101"/>
      <c r="W56" s="101">
        <f t="shared" si="12"/>
        <v>61</v>
      </c>
      <c r="X56" s="101">
        <f t="shared" si="2"/>
        <v>12.2</v>
      </c>
      <c r="Y56" s="101">
        <f t="shared" si="3"/>
        <v>74.369863013698634</v>
      </c>
      <c r="Z56" s="58">
        <f t="shared" si="11"/>
        <v>1525</v>
      </c>
      <c r="AA56" s="101">
        <f t="shared" si="4"/>
        <v>4.1780821917808222</v>
      </c>
      <c r="AB56" s="102">
        <f t="shared" si="13"/>
        <v>4.3369863013698629</v>
      </c>
      <c r="AC56" s="103">
        <v>46053</v>
      </c>
    </row>
    <row r="57" spans="1:29" x14ac:dyDescent="0.25">
      <c r="A57" s="4">
        <v>54</v>
      </c>
      <c r="B57" s="133" t="s">
        <v>420</v>
      </c>
      <c r="C57" s="133" t="s">
        <v>551</v>
      </c>
      <c r="D57" s="134">
        <v>44470</v>
      </c>
      <c r="E57" s="134">
        <v>44470</v>
      </c>
      <c r="F57" s="58"/>
      <c r="G57" s="58"/>
      <c r="H57" s="58"/>
      <c r="I57" s="58"/>
      <c r="J57" s="58"/>
      <c r="K57" s="58"/>
      <c r="L57" s="58"/>
      <c r="M57" s="135"/>
      <c r="N57" s="58"/>
      <c r="O57" s="58"/>
      <c r="P57" s="58"/>
      <c r="Q57" s="101">
        <v>0</v>
      </c>
      <c r="R57" s="101">
        <v>0</v>
      </c>
      <c r="S57" s="101">
        <v>0</v>
      </c>
      <c r="T57" s="101">
        <v>0</v>
      </c>
      <c r="U57" s="101">
        <f>'2025'!M52</f>
        <v>0</v>
      </c>
      <c r="V57" s="101"/>
      <c r="W57" s="101">
        <f t="shared" si="12"/>
        <v>0</v>
      </c>
      <c r="X57" s="101">
        <f t="shared" si="2"/>
        <v>0</v>
      </c>
      <c r="Y57" s="101">
        <f t="shared" si="3"/>
        <v>130.10958904109589</v>
      </c>
      <c r="Z57" s="58">
        <f t="shared" si="11"/>
        <v>1583</v>
      </c>
      <c r="AA57" s="101">
        <f t="shared" si="4"/>
        <v>4.3369863013698629</v>
      </c>
      <c r="AB57" s="102">
        <f t="shared" si="13"/>
        <v>4.3369863013698629</v>
      </c>
      <c r="AC57" s="103">
        <v>46053</v>
      </c>
    </row>
    <row r="58" spans="1:29" x14ac:dyDescent="0.25">
      <c r="A58" s="4">
        <v>55</v>
      </c>
      <c r="B58" s="133" t="s">
        <v>421</v>
      </c>
      <c r="C58" s="133" t="s">
        <v>552</v>
      </c>
      <c r="D58" s="134">
        <v>44470</v>
      </c>
      <c r="E58" s="134">
        <v>44470</v>
      </c>
      <c r="F58" s="58"/>
      <c r="G58" s="58"/>
      <c r="H58" s="58"/>
      <c r="I58" s="58"/>
      <c r="J58" s="58"/>
      <c r="K58" s="58"/>
      <c r="L58" s="58"/>
      <c r="M58" s="135"/>
      <c r="N58" s="58"/>
      <c r="O58" s="58"/>
      <c r="P58" s="58"/>
      <c r="Q58" s="101">
        <v>0</v>
      </c>
      <c r="R58" s="101">
        <v>0</v>
      </c>
      <c r="S58" s="101">
        <v>42</v>
      </c>
      <c r="T58" s="100">
        <v>31</v>
      </c>
      <c r="U58" s="101">
        <f>'2025'!M53</f>
        <v>45</v>
      </c>
      <c r="V58" s="101"/>
      <c r="W58" s="101">
        <f>SUM(P58:U58)</f>
        <v>118</v>
      </c>
      <c r="X58" s="101">
        <f>W58/3</f>
        <v>39.333333333333336</v>
      </c>
      <c r="Y58" s="101">
        <f t="shared" si="3"/>
        <v>-42.754337899543387</v>
      </c>
      <c r="Z58" s="58">
        <f t="shared" si="11"/>
        <v>1672</v>
      </c>
      <c r="AA58" s="101">
        <f t="shared" si="4"/>
        <v>4.580821917808219</v>
      </c>
      <c r="AB58" s="102">
        <f t="shared" si="13"/>
        <v>4.580821917808219</v>
      </c>
      <c r="AC58" s="103">
        <v>46142</v>
      </c>
    </row>
    <row r="59" spans="1:29" x14ac:dyDescent="0.25">
      <c r="A59" s="4">
        <v>56</v>
      </c>
      <c r="B59" s="133" t="s">
        <v>422</v>
      </c>
      <c r="C59" s="133" t="s">
        <v>553</v>
      </c>
      <c r="D59" s="134">
        <v>44470</v>
      </c>
      <c r="E59" s="134">
        <v>44593</v>
      </c>
      <c r="F59" s="58"/>
      <c r="G59" s="58"/>
      <c r="H59" s="58"/>
      <c r="I59" s="58"/>
      <c r="J59" s="58"/>
      <c r="K59" s="58"/>
      <c r="L59" s="58"/>
      <c r="M59" s="135"/>
      <c r="N59" s="58"/>
      <c r="O59" s="58"/>
      <c r="P59" s="58"/>
      <c r="Q59" s="101">
        <v>0</v>
      </c>
      <c r="R59" s="101">
        <v>0</v>
      </c>
      <c r="S59" s="101">
        <v>0</v>
      </c>
      <c r="T59" s="100">
        <v>77</v>
      </c>
      <c r="U59" s="101">
        <f>'2025'!M54</f>
        <v>0</v>
      </c>
      <c r="V59" s="101"/>
      <c r="W59" s="101">
        <f t="shared" si="12"/>
        <v>77</v>
      </c>
      <c r="X59" s="101">
        <f t="shared" si="2"/>
        <v>15.4</v>
      </c>
      <c r="Y59" s="101">
        <f t="shared" si="3"/>
        <v>58.4</v>
      </c>
      <c r="Z59" s="58">
        <f t="shared" si="11"/>
        <v>1460</v>
      </c>
      <c r="AA59" s="101">
        <f t="shared" si="4"/>
        <v>4</v>
      </c>
      <c r="AB59" s="102">
        <f t="shared" si="13"/>
        <v>4.3369863013698629</v>
      </c>
      <c r="AC59" s="103">
        <v>46053</v>
      </c>
    </row>
    <row r="60" spans="1:29" x14ac:dyDescent="0.25">
      <c r="A60" s="4">
        <v>57</v>
      </c>
      <c r="B60" s="133" t="s">
        <v>423</v>
      </c>
      <c r="C60" s="133" t="s">
        <v>554</v>
      </c>
      <c r="D60" s="134">
        <v>44607</v>
      </c>
      <c r="E60" s="134">
        <v>44607</v>
      </c>
      <c r="F60" s="58"/>
      <c r="G60" s="58"/>
      <c r="H60" s="58"/>
      <c r="I60" s="58"/>
      <c r="J60" s="58"/>
      <c r="K60" s="58"/>
      <c r="L60" s="58"/>
      <c r="M60" s="135"/>
      <c r="N60" s="58"/>
      <c r="O60" s="58"/>
      <c r="P60" s="58"/>
      <c r="Q60" s="58"/>
      <c r="R60" s="101">
        <v>0</v>
      </c>
      <c r="S60" s="101">
        <v>0</v>
      </c>
      <c r="T60" s="101">
        <v>0</v>
      </c>
      <c r="U60" s="100">
        <f>'2025'!M55</f>
        <v>61</v>
      </c>
      <c r="V60" s="101"/>
      <c r="W60" s="101">
        <f t="shared" si="12"/>
        <v>0</v>
      </c>
      <c r="X60" s="101">
        <f t="shared" si="2"/>
        <v>0</v>
      </c>
      <c r="Y60" s="101">
        <f t="shared" si="3"/>
        <v>118.84931506849315</v>
      </c>
      <c r="Z60" s="58">
        <f t="shared" si="11"/>
        <v>1446</v>
      </c>
      <c r="AA60" s="101">
        <f t="shared" si="4"/>
        <v>3.9616438356164383</v>
      </c>
      <c r="AB60" s="102">
        <f t="shared" si="13"/>
        <v>3.9616438356164383</v>
      </c>
      <c r="AC60" s="103">
        <v>46053</v>
      </c>
    </row>
    <row r="61" spans="1:29" x14ac:dyDescent="0.25">
      <c r="A61" s="4">
        <v>58</v>
      </c>
      <c r="B61" s="133" t="s">
        <v>424</v>
      </c>
      <c r="C61" s="133" t="s">
        <v>555</v>
      </c>
      <c r="D61" s="134">
        <v>44593</v>
      </c>
      <c r="E61" s="134">
        <v>44593</v>
      </c>
      <c r="F61" s="58"/>
      <c r="G61" s="58"/>
      <c r="H61" s="58"/>
      <c r="I61" s="58"/>
      <c r="J61" s="58"/>
      <c r="K61" s="58"/>
      <c r="L61" s="58"/>
      <c r="M61" s="135"/>
      <c r="N61" s="58"/>
      <c r="O61" s="58"/>
      <c r="P61" s="58"/>
      <c r="Q61" s="58"/>
      <c r="R61" s="101">
        <v>0</v>
      </c>
      <c r="S61" s="101">
        <v>15</v>
      </c>
      <c r="T61" s="100">
        <v>66</v>
      </c>
      <c r="U61" s="101">
        <f>'2025'!M56</f>
        <v>0</v>
      </c>
      <c r="V61" s="101"/>
      <c r="W61" s="101">
        <f t="shared" si="12"/>
        <v>81</v>
      </c>
      <c r="X61" s="101">
        <f t="shared" si="2"/>
        <v>16.2</v>
      </c>
      <c r="Y61" s="101">
        <f t="shared" si="3"/>
        <v>55.2</v>
      </c>
      <c r="Z61" s="58">
        <f t="shared" si="11"/>
        <v>1460</v>
      </c>
      <c r="AA61" s="101">
        <f t="shared" si="4"/>
        <v>4</v>
      </c>
      <c r="AB61" s="102">
        <f t="shared" si="13"/>
        <v>4</v>
      </c>
      <c r="AC61" s="103">
        <v>46053</v>
      </c>
    </row>
    <row r="62" spans="1:29" x14ac:dyDescent="0.25">
      <c r="A62" s="4">
        <v>59</v>
      </c>
      <c r="B62" s="133" t="s">
        <v>425</v>
      </c>
      <c r="C62" s="133" t="s">
        <v>556</v>
      </c>
      <c r="D62" s="134">
        <v>44682</v>
      </c>
      <c r="E62" s="134">
        <v>44682</v>
      </c>
      <c r="F62" s="58"/>
      <c r="G62" s="58"/>
      <c r="H62" s="58"/>
      <c r="I62" s="58"/>
      <c r="J62" s="58"/>
      <c r="K62" s="58"/>
      <c r="L62" s="58"/>
      <c r="M62" s="135"/>
      <c r="N62" s="58"/>
      <c r="O62" s="58"/>
      <c r="P62" s="58"/>
      <c r="Q62" s="58"/>
      <c r="R62" s="101">
        <v>0</v>
      </c>
      <c r="S62" s="101">
        <v>9</v>
      </c>
      <c r="T62" s="101">
        <v>0</v>
      </c>
      <c r="U62" s="101">
        <f>'2025'!M147</f>
        <v>0</v>
      </c>
      <c r="V62" s="101"/>
      <c r="W62" s="101">
        <f t="shared" si="12"/>
        <v>9</v>
      </c>
      <c r="X62" s="101">
        <f t="shared" si="2"/>
        <v>1.8</v>
      </c>
      <c r="Y62" s="101">
        <f t="shared" si="3"/>
        <v>105.92383561643835</v>
      </c>
      <c r="Z62" s="58">
        <f t="shared" si="11"/>
        <v>1371</v>
      </c>
      <c r="AA62" s="101">
        <f t="shared" si="4"/>
        <v>3.7561643835616438</v>
      </c>
      <c r="AB62" s="102">
        <f t="shared" si="13"/>
        <v>3.7561643835616438</v>
      </c>
      <c r="AC62" s="103">
        <v>46053</v>
      </c>
    </row>
    <row r="63" spans="1:29" x14ac:dyDescent="0.25">
      <c r="A63" s="4">
        <v>60</v>
      </c>
      <c r="B63" s="133" t="s">
        <v>426</v>
      </c>
      <c r="C63" s="133" t="s">
        <v>557</v>
      </c>
      <c r="D63" s="134">
        <v>44652</v>
      </c>
      <c r="E63" s="134">
        <v>44652</v>
      </c>
      <c r="F63" s="58"/>
      <c r="G63" s="58"/>
      <c r="H63" s="58"/>
      <c r="I63" s="58"/>
      <c r="J63" s="58"/>
      <c r="K63" s="58"/>
      <c r="L63" s="58"/>
      <c r="M63" s="135"/>
      <c r="N63" s="58"/>
      <c r="O63" s="58"/>
      <c r="P63" s="58"/>
      <c r="Q63" s="58"/>
      <c r="R63" s="101">
        <v>0</v>
      </c>
      <c r="S63" s="101">
        <v>0</v>
      </c>
      <c r="T63" s="100">
        <f>'2024'!M74</f>
        <v>93</v>
      </c>
      <c r="U63" s="101">
        <f>'2025'!M57</f>
        <v>111</v>
      </c>
      <c r="V63" s="101"/>
      <c r="W63" s="101">
        <f t="shared" si="12"/>
        <v>93</v>
      </c>
      <c r="X63" s="101">
        <f t="shared" si="2"/>
        <v>18.600000000000001</v>
      </c>
      <c r="Y63" s="101">
        <f t="shared" si="3"/>
        <v>43.757260273972598</v>
      </c>
      <c r="Z63" s="58">
        <f t="shared" si="11"/>
        <v>1401</v>
      </c>
      <c r="AA63" s="101">
        <f t="shared" si="4"/>
        <v>3.8383561643835615</v>
      </c>
      <c r="AB63" s="102">
        <f t="shared" si="13"/>
        <v>3.8383561643835615</v>
      </c>
      <c r="AC63" s="103">
        <v>46053</v>
      </c>
    </row>
    <row r="64" spans="1:29" ht="15.75" customHeight="1" x14ac:dyDescent="0.25">
      <c r="A64" s="4">
        <v>61</v>
      </c>
      <c r="B64" s="133" t="s">
        <v>428</v>
      </c>
      <c r="C64" s="133" t="s">
        <v>559</v>
      </c>
      <c r="D64" s="134">
        <v>44652</v>
      </c>
      <c r="E64" s="134">
        <v>44708</v>
      </c>
      <c r="F64" s="58"/>
      <c r="G64" s="58"/>
      <c r="H64" s="58"/>
      <c r="I64" s="58"/>
      <c r="J64" s="58"/>
      <c r="K64" s="58"/>
      <c r="L64" s="58"/>
      <c r="M64" s="135"/>
      <c r="N64" s="58"/>
      <c r="O64" s="58"/>
      <c r="P64" s="58"/>
      <c r="Q64" s="58"/>
      <c r="R64" s="101">
        <v>0</v>
      </c>
      <c r="S64" s="101">
        <v>18</v>
      </c>
      <c r="T64" s="100">
        <v>47</v>
      </c>
      <c r="U64" s="101">
        <f>'2025'!M58</f>
        <v>8</v>
      </c>
      <c r="V64" s="101">
        <f>'2026'!M58</f>
        <v>23</v>
      </c>
      <c r="W64" s="101">
        <f>SUM(P64:V64)</f>
        <v>96</v>
      </c>
      <c r="X64" s="101">
        <f>W64/3.7</f>
        <v>25.945945945945944</v>
      </c>
      <c r="Y64" s="101">
        <f t="shared" si="3"/>
        <v>14.938911514253988</v>
      </c>
      <c r="Z64" s="58">
        <f t="shared" si="11"/>
        <v>1345</v>
      </c>
      <c r="AA64" s="101">
        <f t="shared" si="4"/>
        <v>3.6849315068493151</v>
      </c>
      <c r="AB64" s="102">
        <f t="shared" si="13"/>
        <v>3.8383561643835615</v>
      </c>
      <c r="AC64" s="103">
        <v>46053</v>
      </c>
    </row>
    <row r="65" spans="1:29" x14ac:dyDescent="0.25">
      <c r="A65" s="4">
        <v>62</v>
      </c>
      <c r="B65" s="133" t="s">
        <v>429</v>
      </c>
      <c r="C65" s="133" t="s">
        <v>560</v>
      </c>
      <c r="D65" s="134">
        <v>44652</v>
      </c>
      <c r="E65" s="134">
        <v>44652</v>
      </c>
      <c r="F65" s="58"/>
      <c r="G65" s="58"/>
      <c r="H65" s="58"/>
      <c r="I65" s="58"/>
      <c r="J65" s="58"/>
      <c r="K65" s="58"/>
      <c r="L65" s="58"/>
      <c r="M65" s="135"/>
      <c r="N65" s="58"/>
      <c r="O65" s="58"/>
      <c r="P65" s="58"/>
      <c r="Q65" s="58"/>
      <c r="R65" s="101">
        <v>0</v>
      </c>
      <c r="S65" s="101">
        <v>0</v>
      </c>
      <c r="T65" s="100">
        <v>64</v>
      </c>
      <c r="U65" s="101">
        <f>'2025'!M59</f>
        <v>0</v>
      </c>
      <c r="V65" s="101"/>
      <c r="W65" s="101">
        <f>SUM(P65:T65)</f>
        <v>64</v>
      </c>
      <c r="X65" s="101">
        <f t="shared" si="2"/>
        <v>12.8</v>
      </c>
      <c r="Y65" s="101">
        <f t="shared" si="3"/>
        <v>66.019726027397255</v>
      </c>
      <c r="Z65" s="58">
        <f t="shared" si="11"/>
        <v>1401</v>
      </c>
      <c r="AA65" s="101">
        <f t="shared" si="4"/>
        <v>3.8383561643835615</v>
      </c>
      <c r="AB65" s="102">
        <f t="shared" si="13"/>
        <v>3.8383561643835615</v>
      </c>
      <c r="AC65" s="103">
        <v>46053</v>
      </c>
    </row>
    <row r="66" spans="1:29" x14ac:dyDescent="0.25">
      <c r="A66" s="4">
        <v>63</v>
      </c>
      <c r="B66" s="133" t="s">
        <v>431</v>
      </c>
      <c r="C66" s="133" t="s">
        <v>562</v>
      </c>
      <c r="D66" s="134">
        <v>44652</v>
      </c>
      <c r="E66" s="134">
        <v>44756</v>
      </c>
      <c r="F66" s="58"/>
      <c r="G66" s="58"/>
      <c r="H66" s="58"/>
      <c r="I66" s="58"/>
      <c r="J66" s="58"/>
      <c r="K66" s="58"/>
      <c r="L66" s="58"/>
      <c r="M66" s="135"/>
      <c r="N66" s="58"/>
      <c r="O66" s="58"/>
      <c r="P66" s="58"/>
      <c r="Q66" s="58"/>
      <c r="R66" s="101">
        <v>0</v>
      </c>
      <c r="S66" s="101">
        <v>0</v>
      </c>
      <c r="T66" s="101">
        <v>0</v>
      </c>
      <c r="U66" s="100">
        <f>'2025'!M60</f>
        <v>66</v>
      </c>
      <c r="V66" s="101"/>
      <c r="W66" s="101">
        <f>SUM(P66:T66)</f>
        <v>0</v>
      </c>
      <c r="X66" s="101">
        <f t="shared" si="2"/>
        <v>0</v>
      </c>
      <c r="Y66" s="101">
        <f t="shared" si="3"/>
        <v>106.60273972602741</v>
      </c>
      <c r="Z66" s="58">
        <f t="shared" si="11"/>
        <v>1297</v>
      </c>
      <c r="AA66" s="101">
        <f t="shared" si="4"/>
        <v>3.5534246575342467</v>
      </c>
      <c r="AB66" s="102">
        <f t="shared" si="13"/>
        <v>3.8383561643835615</v>
      </c>
      <c r="AC66" s="103">
        <v>46053</v>
      </c>
    </row>
    <row r="67" spans="1:29" x14ac:dyDescent="0.25">
      <c r="A67" s="4">
        <v>64</v>
      </c>
      <c r="B67" s="133" t="s">
        <v>432</v>
      </c>
      <c r="C67" s="133" t="s">
        <v>563</v>
      </c>
      <c r="D67" s="134">
        <v>44774</v>
      </c>
      <c r="E67" s="134">
        <v>44774</v>
      </c>
      <c r="F67" s="58"/>
      <c r="G67" s="58"/>
      <c r="H67" s="58"/>
      <c r="I67" s="58"/>
      <c r="J67" s="58"/>
      <c r="K67" s="58"/>
      <c r="L67" s="58"/>
      <c r="M67" s="135"/>
      <c r="N67" s="58"/>
      <c r="O67" s="58"/>
      <c r="P67" s="58"/>
      <c r="Q67" s="58"/>
      <c r="R67" s="101">
        <v>0</v>
      </c>
      <c r="S67" s="101">
        <v>0</v>
      </c>
      <c r="T67" s="100">
        <v>60</v>
      </c>
      <c r="U67" s="101">
        <f>'2025'!M144</f>
        <v>0</v>
      </c>
      <c r="V67" s="101"/>
      <c r="W67" s="101">
        <f>SUM(P67:T67)</f>
        <v>60</v>
      </c>
      <c r="X67" s="101">
        <f>W67/2.42</f>
        <v>24.793388429752067</v>
      </c>
      <c r="Y67" s="101">
        <f t="shared" si="3"/>
        <v>18.244537529718102</v>
      </c>
      <c r="Z67" s="58">
        <f t="shared" si="11"/>
        <v>1279</v>
      </c>
      <c r="AA67" s="101">
        <f t="shared" si="4"/>
        <v>3.504109589041096</v>
      </c>
      <c r="AB67" s="102">
        <f t="shared" si="13"/>
        <v>3.504109589041096</v>
      </c>
      <c r="AC67" s="103">
        <v>46053</v>
      </c>
    </row>
    <row r="68" spans="1:29" x14ac:dyDescent="0.25">
      <c r="A68" s="4">
        <v>65</v>
      </c>
      <c r="B68" s="133" t="s">
        <v>433</v>
      </c>
      <c r="C68" s="133" t="s">
        <v>338</v>
      </c>
      <c r="D68" s="134">
        <v>44734</v>
      </c>
      <c r="E68" s="134">
        <v>44734</v>
      </c>
      <c r="F68" s="58"/>
      <c r="G68" s="58"/>
      <c r="H68" s="58"/>
      <c r="I68" s="58"/>
      <c r="J68" s="58"/>
      <c r="K68" s="58"/>
      <c r="L68" s="58"/>
      <c r="M68" s="135"/>
      <c r="N68" s="58"/>
      <c r="O68" s="58"/>
      <c r="P68" s="58"/>
      <c r="Q68" s="58"/>
      <c r="R68" s="101">
        <v>0</v>
      </c>
      <c r="S68" s="101">
        <v>0</v>
      </c>
      <c r="T68" s="100">
        <v>31</v>
      </c>
      <c r="U68" s="101">
        <f>'2025'!M61</f>
        <v>6</v>
      </c>
      <c r="V68" s="101"/>
      <c r="W68" s="101">
        <f>SUM(P68:U68)</f>
        <v>37</v>
      </c>
      <c r="X68" s="101">
        <f t="shared" si="2"/>
        <v>7.4</v>
      </c>
      <c r="Y68" s="101">
        <f t="shared" si="3"/>
        <v>87.180273972602748</v>
      </c>
      <c r="Z68" s="58">
        <f t="shared" si="11"/>
        <v>1408</v>
      </c>
      <c r="AA68" s="101">
        <f t="shared" si="4"/>
        <v>3.8575342465753426</v>
      </c>
      <c r="AB68" s="102">
        <f t="shared" si="13"/>
        <v>3.8575342465753426</v>
      </c>
      <c r="AC68" s="103">
        <v>46142</v>
      </c>
    </row>
    <row r="69" spans="1:29" x14ac:dyDescent="0.25">
      <c r="A69" s="4">
        <v>66</v>
      </c>
      <c r="B69" s="133" t="s">
        <v>435</v>
      </c>
      <c r="C69" s="133" t="s">
        <v>565</v>
      </c>
      <c r="D69" s="134">
        <v>44682</v>
      </c>
      <c r="E69" s="134">
        <v>44774</v>
      </c>
      <c r="F69" s="58"/>
      <c r="G69" s="58"/>
      <c r="H69" s="58"/>
      <c r="I69" s="58"/>
      <c r="J69" s="58"/>
      <c r="K69" s="58"/>
      <c r="L69" s="58"/>
      <c r="M69" s="135"/>
      <c r="N69" s="58"/>
      <c r="O69" s="58"/>
      <c r="P69" s="58"/>
      <c r="Q69" s="58"/>
      <c r="R69" s="101">
        <v>0</v>
      </c>
      <c r="S69" s="101">
        <v>0</v>
      </c>
      <c r="T69" s="100">
        <v>61</v>
      </c>
      <c r="U69" s="101">
        <f>'2025'!M62</f>
        <v>91</v>
      </c>
      <c r="V69" s="101"/>
      <c r="W69" s="101">
        <f>SUM(P69:T69)</f>
        <v>61</v>
      </c>
      <c r="X69" s="101">
        <f t="shared" si="2"/>
        <v>12.2</v>
      </c>
      <c r="Y69" s="101">
        <f t="shared" si="3"/>
        <v>62.37315068493151</v>
      </c>
      <c r="Z69" s="58">
        <f t="shared" si="11"/>
        <v>1279</v>
      </c>
      <c r="AA69" s="101">
        <f t="shared" si="4"/>
        <v>3.504109589041096</v>
      </c>
      <c r="AB69" s="102">
        <f t="shared" si="13"/>
        <v>3.7561643835616438</v>
      </c>
      <c r="AC69" s="103">
        <v>46053</v>
      </c>
    </row>
    <row r="70" spans="1:29" x14ac:dyDescent="0.25">
      <c r="A70" s="4">
        <v>67</v>
      </c>
      <c r="B70" s="133" t="s">
        <v>477</v>
      </c>
      <c r="C70" s="133" t="s">
        <v>136</v>
      </c>
      <c r="D70" s="134">
        <v>44805</v>
      </c>
      <c r="E70" s="134">
        <v>44826</v>
      </c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101">
        <v>0</v>
      </c>
      <c r="R70" s="101">
        <v>0</v>
      </c>
      <c r="S70" s="101">
        <v>0</v>
      </c>
      <c r="T70" s="100">
        <v>18</v>
      </c>
      <c r="U70" s="101">
        <f>'2025'!M63</f>
        <v>58</v>
      </c>
      <c r="V70" s="101"/>
      <c r="W70" s="101">
        <f>SUM(P70:U70)</f>
        <v>76</v>
      </c>
      <c r="X70" s="101">
        <f>W70/2.36</f>
        <v>32.203389830508478</v>
      </c>
      <c r="Y70" s="101">
        <f t="shared" ref="Y70:Y86" si="14">SUM(30-X70)*AA70</f>
        <v>-7.4070118411887726</v>
      </c>
      <c r="Z70" s="58">
        <f t="shared" si="11"/>
        <v>1227</v>
      </c>
      <c r="AA70" s="101">
        <f t="shared" ref="AA70:AA86" si="15">Z70/365</f>
        <v>3.3616438356164382</v>
      </c>
      <c r="AB70" s="102">
        <f t="shared" si="13"/>
        <v>3.419178082191781</v>
      </c>
      <c r="AC70" s="103">
        <v>46053</v>
      </c>
    </row>
    <row r="71" spans="1:29" x14ac:dyDescent="0.25">
      <c r="A71" s="4">
        <v>68</v>
      </c>
      <c r="B71" s="133" t="s">
        <v>479</v>
      </c>
      <c r="C71" s="133" t="s">
        <v>351</v>
      </c>
      <c r="D71" s="134">
        <v>44513</v>
      </c>
      <c r="E71" s="134">
        <v>44903</v>
      </c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101">
        <v>0</v>
      </c>
      <c r="R71" s="101">
        <v>0</v>
      </c>
      <c r="S71" s="101">
        <v>0</v>
      </c>
      <c r="T71" s="101">
        <v>0</v>
      </c>
      <c r="U71" s="100">
        <f>'2025'!M64</f>
        <v>60</v>
      </c>
      <c r="V71" s="101"/>
      <c r="W71" s="101">
        <f t="shared" ref="W71:W77" si="16">SUM(P71:T71)</f>
        <v>0</v>
      </c>
      <c r="X71" s="101">
        <f t="shared" ref="X71:X86" si="17">W71/5</f>
        <v>0</v>
      </c>
      <c r="Y71" s="101">
        <f t="shared" si="14"/>
        <v>94.520547945205479</v>
      </c>
      <c r="Z71" s="58">
        <f t="shared" si="11"/>
        <v>1150</v>
      </c>
      <c r="AA71" s="101">
        <f t="shared" si="15"/>
        <v>3.1506849315068495</v>
      </c>
      <c r="AB71" s="102">
        <f t="shared" si="13"/>
        <v>4.2191780821917808</v>
      </c>
      <c r="AC71" s="103">
        <v>46053</v>
      </c>
    </row>
    <row r="72" spans="1:29" x14ac:dyDescent="0.25">
      <c r="A72" s="4">
        <v>69</v>
      </c>
      <c r="B72" s="133" t="s">
        <v>607</v>
      </c>
      <c r="C72" s="133" t="s">
        <v>602</v>
      </c>
      <c r="D72" s="115">
        <v>44893</v>
      </c>
      <c r="E72" s="134">
        <v>45005</v>
      </c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101">
        <v>0</v>
      </c>
      <c r="R72" s="101">
        <v>0</v>
      </c>
      <c r="S72" s="101">
        <v>0</v>
      </c>
      <c r="T72" s="101">
        <v>41</v>
      </c>
      <c r="U72" s="101">
        <f>'2025'!M146</f>
        <v>0</v>
      </c>
      <c r="V72" s="101"/>
      <c r="W72" s="101">
        <f t="shared" si="16"/>
        <v>41</v>
      </c>
      <c r="X72" s="101">
        <f>W72/2.03</f>
        <v>20.19704433497537</v>
      </c>
      <c r="Y72" s="101">
        <f t="shared" si="14"/>
        <v>28.146568594372091</v>
      </c>
      <c r="Z72" s="58">
        <f t="shared" si="11"/>
        <v>1048</v>
      </c>
      <c r="AA72" s="101">
        <f t="shared" si="15"/>
        <v>2.871232876712329</v>
      </c>
      <c r="AB72" s="102">
        <f t="shared" si="13"/>
        <v>3.1780821917808217</v>
      </c>
      <c r="AC72" s="103">
        <v>46053</v>
      </c>
    </row>
    <row r="73" spans="1:29" x14ac:dyDescent="0.25">
      <c r="A73" s="4">
        <v>70</v>
      </c>
      <c r="B73" s="133" t="s">
        <v>489</v>
      </c>
      <c r="C73" s="133" t="s">
        <v>486</v>
      </c>
      <c r="D73" s="134">
        <v>44893</v>
      </c>
      <c r="E73" s="134">
        <v>44931</v>
      </c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101">
        <v>0</v>
      </c>
      <c r="R73" s="101">
        <v>0</v>
      </c>
      <c r="S73" s="101">
        <v>0</v>
      </c>
      <c r="T73" s="101">
        <v>0</v>
      </c>
      <c r="U73" s="100">
        <f>'2025'!M65</f>
        <v>59</v>
      </c>
      <c r="V73" s="101"/>
      <c r="W73" s="101">
        <f t="shared" si="16"/>
        <v>0</v>
      </c>
      <c r="X73" s="101">
        <f t="shared" si="17"/>
        <v>0</v>
      </c>
      <c r="Y73" s="101">
        <f t="shared" si="14"/>
        <v>92.219178082191775</v>
      </c>
      <c r="Z73" s="58">
        <f t="shared" si="11"/>
        <v>1122</v>
      </c>
      <c r="AA73" s="101">
        <f t="shared" si="15"/>
        <v>3.0739726027397261</v>
      </c>
      <c r="AB73" s="102">
        <f t="shared" si="13"/>
        <v>3.1780821917808217</v>
      </c>
      <c r="AC73" s="103">
        <v>46053</v>
      </c>
    </row>
    <row r="74" spans="1:29" x14ac:dyDescent="0.25">
      <c r="A74" s="4">
        <v>71</v>
      </c>
      <c r="B74" s="133" t="s">
        <v>488</v>
      </c>
      <c r="C74" s="133" t="s">
        <v>485</v>
      </c>
      <c r="D74" s="134">
        <v>44893</v>
      </c>
      <c r="E74" s="134">
        <v>44931</v>
      </c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101">
        <v>0</v>
      </c>
      <c r="R74" s="101">
        <v>0</v>
      </c>
      <c r="S74" s="101">
        <v>0</v>
      </c>
      <c r="T74" s="101">
        <v>0</v>
      </c>
      <c r="U74" s="100">
        <f>'2025'!M66</f>
        <v>67</v>
      </c>
      <c r="V74" s="101"/>
      <c r="W74" s="101">
        <f t="shared" si="16"/>
        <v>0</v>
      </c>
      <c r="X74" s="101">
        <f t="shared" si="17"/>
        <v>0</v>
      </c>
      <c r="Y74" s="101">
        <f t="shared" si="14"/>
        <v>92.219178082191775</v>
      </c>
      <c r="Z74" s="58">
        <f t="shared" si="11"/>
        <v>1122</v>
      </c>
      <c r="AA74" s="101">
        <f t="shared" si="15"/>
        <v>3.0739726027397261</v>
      </c>
      <c r="AB74" s="102">
        <f t="shared" si="13"/>
        <v>3.1780821917808217</v>
      </c>
      <c r="AC74" s="103">
        <v>46053</v>
      </c>
    </row>
    <row r="75" spans="1:29" x14ac:dyDescent="0.25">
      <c r="A75" s="4">
        <v>72</v>
      </c>
      <c r="B75" s="133" t="s">
        <v>611</v>
      </c>
      <c r="C75" s="133" t="s">
        <v>606</v>
      </c>
      <c r="D75" s="134">
        <v>44938</v>
      </c>
      <c r="E75" s="134">
        <v>44938</v>
      </c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101">
        <v>0</v>
      </c>
      <c r="R75" s="101">
        <v>0</v>
      </c>
      <c r="S75" s="101">
        <v>25</v>
      </c>
      <c r="T75" s="101">
        <v>0</v>
      </c>
      <c r="U75" s="101">
        <f>'2025'!M67</f>
        <v>79</v>
      </c>
      <c r="V75" s="101"/>
      <c r="W75" s="101">
        <f t="shared" si="16"/>
        <v>25</v>
      </c>
      <c r="X75" s="101">
        <f t="shared" si="17"/>
        <v>5</v>
      </c>
      <c r="Y75" s="101">
        <f t="shared" si="14"/>
        <v>76.369863013698634</v>
      </c>
      <c r="Z75" s="58">
        <f t="shared" ref="Z75:Z86" si="18">AC75-E75</f>
        <v>1115</v>
      </c>
      <c r="AA75" s="101">
        <f t="shared" si="15"/>
        <v>3.0547945205479454</v>
      </c>
      <c r="AB75" s="102">
        <f t="shared" si="13"/>
        <v>3.0547945205479454</v>
      </c>
      <c r="AC75" s="103">
        <v>46053</v>
      </c>
    </row>
    <row r="76" spans="1:29" x14ac:dyDescent="0.25">
      <c r="A76" s="4">
        <v>73</v>
      </c>
      <c r="B76" s="133" t="s">
        <v>610</v>
      </c>
      <c r="C76" s="133" t="s">
        <v>605</v>
      </c>
      <c r="D76" s="134">
        <v>44900</v>
      </c>
      <c r="E76" s="134">
        <v>44900</v>
      </c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101">
        <v>0</v>
      </c>
      <c r="R76" s="101">
        <v>0</v>
      </c>
      <c r="S76" s="101">
        <v>0</v>
      </c>
      <c r="T76" s="101">
        <v>27</v>
      </c>
      <c r="U76" s="100">
        <f>'2025'!M68</f>
        <v>52</v>
      </c>
      <c r="V76" s="101"/>
      <c r="W76" s="101">
        <f t="shared" si="16"/>
        <v>27</v>
      </c>
      <c r="X76" s="101">
        <f t="shared" si="17"/>
        <v>5.4</v>
      </c>
      <c r="Y76" s="101">
        <f t="shared" si="14"/>
        <v>77.709041095890413</v>
      </c>
      <c r="Z76" s="58">
        <f t="shared" si="18"/>
        <v>1153</v>
      </c>
      <c r="AA76" s="101">
        <f t="shared" si="15"/>
        <v>3.1589041095890411</v>
      </c>
      <c r="AB76" s="102">
        <f t="shared" si="13"/>
        <v>3.1589041095890411</v>
      </c>
      <c r="AC76" s="103">
        <v>46053</v>
      </c>
    </row>
    <row r="77" spans="1:29" x14ac:dyDescent="0.25">
      <c r="A77" s="4">
        <v>74</v>
      </c>
      <c r="B77" s="133" t="s">
        <v>624</v>
      </c>
      <c r="C77" s="133" t="s">
        <v>615</v>
      </c>
      <c r="D77" s="115">
        <v>44967</v>
      </c>
      <c r="E77" s="134">
        <v>45019</v>
      </c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101"/>
      <c r="R77" s="101">
        <v>0</v>
      </c>
      <c r="S77" s="101">
        <v>17</v>
      </c>
      <c r="T77" s="101">
        <v>19</v>
      </c>
      <c r="U77" s="101">
        <f>'2025'!M69</f>
        <v>0</v>
      </c>
      <c r="V77" s="101"/>
      <c r="W77" s="101">
        <f t="shared" si="16"/>
        <v>36</v>
      </c>
      <c r="X77" s="101">
        <f>W77/2.98</f>
        <v>12.080536912751677</v>
      </c>
      <c r="Y77" s="101">
        <f t="shared" si="14"/>
        <v>53.90567251999633</v>
      </c>
      <c r="Z77" s="58">
        <f t="shared" si="18"/>
        <v>1098</v>
      </c>
      <c r="AA77" s="101">
        <f t="shared" si="15"/>
        <v>3.0082191780821916</v>
      </c>
      <c r="AB77" s="102">
        <f t="shared" si="13"/>
        <v>3.1506849315068495</v>
      </c>
      <c r="AC77" s="103">
        <v>46117</v>
      </c>
    </row>
    <row r="78" spans="1:29" x14ac:dyDescent="0.25">
      <c r="A78" s="4">
        <v>75</v>
      </c>
      <c r="B78" s="133" t="s">
        <v>626</v>
      </c>
      <c r="C78" s="133" t="s">
        <v>617</v>
      </c>
      <c r="D78" s="115">
        <v>45024</v>
      </c>
      <c r="E78" s="134">
        <v>45068</v>
      </c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101"/>
      <c r="R78" s="101">
        <v>0</v>
      </c>
      <c r="S78" s="101">
        <v>14</v>
      </c>
      <c r="T78" s="101">
        <v>0</v>
      </c>
      <c r="U78" s="101">
        <f>'2025'!M70</f>
        <v>19</v>
      </c>
      <c r="V78" s="101"/>
      <c r="W78" s="101">
        <f>SUM(P78:U78)</f>
        <v>33</v>
      </c>
      <c r="X78" s="101">
        <f t="shared" si="17"/>
        <v>6.6</v>
      </c>
      <c r="Y78" s="101">
        <f t="shared" si="14"/>
        <v>68.853698630136989</v>
      </c>
      <c r="Z78" s="58">
        <f t="shared" si="18"/>
        <v>1074</v>
      </c>
      <c r="AA78" s="101">
        <f t="shared" si="15"/>
        <v>2.9424657534246577</v>
      </c>
      <c r="AB78" s="102">
        <f t="shared" si="13"/>
        <v>3.0630136986301371</v>
      </c>
      <c r="AC78" s="103">
        <v>46142</v>
      </c>
    </row>
    <row r="79" spans="1:29" x14ac:dyDescent="0.25">
      <c r="A79" s="4">
        <v>76</v>
      </c>
      <c r="B79" s="133" t="s">
        <v>627</v>
      </c>
      <c r="C79" s="133" t="s">
        <v>618</v>
      </c>
      <c r="D79" s="115">
        <v>45031</v>
      </c>
      <c r="E79" s="134">
        <v>45071</v>
      </c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101">
        <v>0</v>
      </c>
      <c r="R79" s="101">
        <v>0</v>
      </c>
      <c r="S79" s="101">
        <v>0</v>
      </c>
      <c r="T79" s="101">
        <v>41</v>
      </c>
      <c r="U79" s="101">
        <f>'2025'!M71</f>
        <v>0</v>
      </c>
      <c r="V79" s="101"/>
      <c r="W79" s="101">
        <f t="shared" ref="W79:W86" si="19">SUM(P79:T79)</f>
        <v>41</v>
      </c>
      <c r="X79" s="101">
        <f t="shared" si="17"/>
        <v>8.1999999999999993</v>
      </c>
      <c r="Y79" s="101">
        <f t="shared" si="14"/>
        <v>58.650958904109586</v>
      </c>
      <c r="Z79" s="58">
        <f t="shared" si="18"/>
        <v>982</v>
      </c>
      <c r="AA79" s="101">
        <f t="shared" si="15"/>
        <v>2.6904109589041094</v>
      </c>
      <c r="AB79" s="102">
        <f t="shared" si="13"/>
        <v>2.8</v>
      </c>
      <c r="AC79" s="103">
        <v>46053</v>
      </c>
    </row>
    <row r="80" spans="1:29" x14ac:dyDescent="0.25">
      <c r="A80" s="4">
        <v>77</v>
      </c>
      <c r="B80" s="133" t="s">
        <v>628</v>
      </c>
      <c r="C80" s="133" t="s">
        <v>619</v>
      </c>
      <c r="D80" s="115">
        <v>45045</v>
      </c>
      <c r="E80" s="134">
        <v>45085</v>
      </c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101">
        <v>0</v>
      </c>
      <c r="R80" s="101">
        <v>0</v>
      </c>
      <c r="S80" s="101">
        <v>0</v>
      </c>
      <c r="T80" s="101">
        <v>0</v>
      </c>
      <c r="U80" s="101">
        <f>'2025'!M72</f>
        <v>0</v>
      </c>
      <c r="V80" s="101"/>
      <c r="W80" s="101">
        <f t="shared" si="19"/>
        <v>0</v>
      </c>
      <c r="X80" s="101">
        <f t="shared" si="17"/>
        <v>0</v>
      </c>
      <c r="Y80" s="101">
        <f t="shared" si="14"/>
        <v>79.561643835616451</v>
      </c>
      <c r="Z80" s="58">
        <f t="shared" si="18"/>
        <v>968</v>
      </c>
      <c r="AA80" s="101">
        <f t="shared" si="15"/>
        <v>2.6520547945205482</v>
      </c>
      <c r="AB80" s="102">
        <f t="shared" si="13"/>
        <v>2.7616438356164386</v>
      </c>
      <c r="AC80" s="103">
        <v>46053</v>
      </c>
    </row>
    <row r="81" spans="1:29" x14ac:dyDescent="0.25">
      <c r="A81" s="4">
        <v>78</v>
      </c>
      <c r="B81" s="133" t="s">
        <v>632</v>
      </c>
      <c r="C81" s="133" t="s">
        <v>623</v>
      </c>
      <c r="D81" s="115">
        <v>45105</v>
      </c>
      <c r="E81" s="115">
        <v>45105</v>
      </c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101">
        <v>0</v>
      </c>
      <c r="R81" s="101">
        <v>0</v>
      </c>
      <c r="S81" s="101">
        <v>0</v>
      </c>
      <c r="T81" s="101">
        <v>33</v>
      </c>
      <c r="U81" s="101">
        <f>'2025'!M73</f>
        <v>0</v>
      </c>
      <c r="V81" s="101"/>
      <c r="W81" s="101">
        <f t="shared" si="19"/>
        <v>33</v>
      </c>
      <c r="X81" s="101">
        <f t="shared" si="17"/>
        <v>6.6</v>
      </c>
      <c r="Y81" s="101">
        <f t="shared" si="14"/>
        <v>60.775890410958901</v>
      </c>
      <c r="Z81" s="58">
        <f t="shared" si="18"/>
        <v>948</v>
      </c>
      <c r="AA81" s="101">
        <f t="shared" si="15"/>
        <v>2.5972602739726027</v>
      </c>
      <c r="AB81" s="102">
        <f t="shared" si="13"/>
        <v>2.5972602739726027</v>
      </c>
      <c r="AC81" s="103">
        <v>46053</v>
      </c>
    </row>
    <row r="82" spans="1:29" x14ac:dyDescent="0.25">
      <c r="A82" s="4">
        <v>79</v>
      </c>
      <c r="B82" s="133" t="s">
        <v>640</v>
      </c>
      <c r="C82" s="133" t="s">
        <v>635</v>
      </c>
      <c r="D82" s="115">
        <v>45110</v>
      </c>
      <c r="E82" s="115">
        <v>45110</v>
      </c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101">
        <v>0</v>
      </c>
      <c r="R82" s="101">
        <v>0</v>
      </c>
      <c r="S82" s="101">
        <v>0</v>
      </c>
      <c r="T82" s="101">
        <v>0</v>
      </c>
      <c r="U82" s="101">
        <f>'2025'!M74</f>
        <v>0</v>
      </c>
      <c r="V82" s="101"/>
      <c r="W82" s="101">
        <f t="shared" si="19"/>
        <v>0</v>
      </c>
      <c r="X82" s="101">
        <f t="shared" si="17"/>
        <v>0</v>
      </c>
      <c r="Y82" s="101">
        <f t="shared" si="14"/>
        <v>77.506849315068493</v>
      </c>
      <c r="Z82" s="58">
        <f t="shared" si="18"/>
        <v>943</v>
      </c>
      <c r="AA82" s="101">
        <f t="shared" si="15"/>
        <v>2.5835616438356164</v>
      </c>
      <c r="AB82" s="102">
        <f t="shared" si="13"/>
        <v>2.5835616438356164</v>
      </c>
      <c r="AC82" s="103">
        <v>46053</v>
      </c>
    </row>
    <row r="83" spans="1:29" x14ac:dyDescent="0.25">
      <c r="A83" s="4">
        <v>80</v>
      </c>
      <c r="B83" s="133" t="s">
        <v>631</v>
      </c>
      <c r="C83" s="133" t="s">
        <v>622</v>
      </c>
      <c r="D83" s="115">
        <v>45104</v>
      </c>
      <c r="E83" s="115">
        <v>45104</v>
      </c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101">
        <v>0</v>
      </c>
      <c r="R83" s="101">
        <v>0</v>
      </c>
      <c r="S83" s="101">
        <v>0</v>
      </c>
      <c r="T83" s="101">
        <v>0</v>
      </c>
      <c r="U83" s="101">
        <f>'2025'!M75</f>
        <v>0</v>
      </c>
      <c r="V83" s="101"/>
      <c r="W83" s="101">
        <f t="shared" si="19"/>
        <v>0</v>
      </c>
      <c r="X83" s="101">
        <f t="shared" si="17"/>
        <v>0</v>
      </c>
      <c r="Y83" s="101">
        <f t="shared" si="14"/>
        <v>78</v>
      </c>
      <c r="Z83" s="58">
        <f t="shared" si="18"/>
        <v>949</v>
      </c>
      <c r="AA83" s="101">
        <f t="shared" si="15"/>
        <v>2.6</v>
      </c>
      <c r="AB83" s="102">
        <f t="shared" si="13"/>
        <v>2.6</v>
      </c>
      <c r="AC83" s="103">
        <v>46053</v>
      </c>
    </row>
    <row r="84" spans="1:29" x14ac:dyDescent="0.25">
      <c r="A84" s="4">
        <v>81</v>
      </c>
      <c r="B84" s="133" t="s">
        <v>644</v>
      </c>
      <c r="C84" s="133" t="s">
        <v>639</v>
      </c>
      <c r="D84" s="115">
        <v>45159</v>
      </c>
      <c r="E84" s="115">
        <v>45203</v>
      </c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101">
        <v>0</v>
      </c>
      <c r="R84" s="101">
        <v>0</v>
      </c>
      <c r="S84" s="101">
        <v>0</v>
      </c>
      <c r="T84" s="101">
        <v>0</v>
      </c>
      <c r="U84" s="101">
        <f>'2025'!M76</f>
        <v>55</v>
      </c>
      <c r="V84" s="101">
        <f>'2026'!M76</f>
        <v>30</v>
      </c>
      <c r="W84" s="101">
        <f>SUM(P84:V84)</f>
        <v>85</v>
      </c>
      <c r="X84" s="101">
        <f t="shared" si="17"/>
        <v>17</v>
      </c>
      <c r="Y84" s="101">
        <f t="shared" si="14"/>
        <v>30.273972602739725</v>
      </c>
      <c r="Z84" s="58">
        <f t="shared" si="18"/>
        <v>850</v>
      </c>
      <c r="AA84" s="101">
        <f t="shared" si="15"/>
        <v>2.3287671232876712</v>
      </c>
      <c r="AB84" s="102">
        <f t="shared" si="13"/>
        <v>2.4493150684931506</v>
      </c>
      <c r="AC84" s="103">
        <v>46053</v>
      </c>
    </row>
    <row r="85" spans="1:29" x14ac:dyDescent="0.25">
      <c r="A85" s="4">
        <v>82</v>
      </c>
      <c r="B85" s="133" t="s">
        <v>643</v>
      </c>
      <c r="C85" s="133" t="s">
        <v>638</v>
      </c>
      <c r="D85" s="115">
        <v>45155</v>
      </c>
      <c r="E85" s="115">
        <v>45155</v>
      </c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101">
        <v>0</v>
      </c>
      <c r="R85" s="101">
        <v>0</v>
      </c>
      <c r="S85" s="101">
        <v>0</v>
      </c>
      <c r="T85" s="101">
        <v>0</v>
      </c>
      <c r="U85" s="100">
        <f>'2025'!M77</f>
        <v>74</v>
      </c>
      <c r="V85" s="101">
        <f>'2026'!M77</f>
        <v>7</v>
      </c>
      <c r="W85" s="101">
        <f t="shared" si="19"/>
        <v>0</v>
      </c>
      <c r="X85" s="101">
        <f t="shared" si="17"/>
        <v>0</v>
      </c>
      <c r="Y85" s="101">
        <f t="shared" si="14"/>
        <v>73.808219178082183</v>
      </c>
      <c r="Z85" s="58">
        <f t="shared" si="18"/>
        <v>898</v>
      </c>
      <c r="AA85" s="101">
        <f t="shared" si="15"/>
        <v>2.4602739726027396</v>
      </c>
      <c r="AB85" s="102">
        <f t="shared" si="13"/>
        <v>2.4602739726027396</v>
      </c>
      <c r="AC85" s="103">
        <v>46053</v>
      </c>
    </row>
    <row r="86" spans="1:29" x14ac:dyDescent="0.25">
      <c r="A86" s="4">
        <v>83</v>
      </c>
      <c r="B86" s="133" t="s">
        <v>648</v>
      </c>
      <c r="C86" s="133" t="s">
        <v>646</v>
      </c>
      <c r="D86" s="115">
        <v>45224</v>
      </c>
      <c r="E86" s="115">
        <v>45224</v>
      </c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101">
        <v>0</v>
      </c>
      <c r="R86" s="101">
        <v>0</v>
      </c>
      <c r="S86" s="101">
        <v>0</v>
      </c>
      <c r="T86" s="101">
        <v>0</v>
      </c>
      <c r="U86" s="101">
        <f>'2025'!M78</f>
        <v>0</v>
      </c>
      <c r="V86" s="101"/>
      <c r="W86" s="101">
        <f t="shared" si="19"/>
        <v>0</v>
      </c>
      <c r="X86" s="101">
        <f t="shared" si="17"/>
        <v>0</v>
      </c>
      <c r="Y86" s="101">
        <f t="shared" si="14"/>
        <v>68.136986301369859</v>
      </c>
      <c r="Z86" s="58">
        <f t="shared" si="18"/>
        <v>829</v>
      </c>
      <c r="AA86" s="101">
        <f t="shared" si="15"/>
        <v>2.2712328767123289</v>
      </c>
      <c r="AB86" s="102">
        <f t="shared" si="13"/>
        <v>2.2712328767123289</v>
      </c>
      <c r="AC86" s="103">
        <v>46053</v>
      </c>
    </row>
    <row r="87" spans="1:29" x14ac:dyDescent="0.25">
      <c r="A87" s="4">
        <v>84</v>
      </c>
      <c r="B87" s="133" t="s">
        <v>648</v>
      </c>
      <c r="C87" s="6" t="s">
        <v>692</v>
      </c>
      <c r="D87" s="115">
        <v>45224</v>
      </c>
      <c r="E87" s="115">
        <v>45224</v>
      </c>
      <c r="F87" s="58"/>
      <c r="G87" s="58"/>
      <c r="H87" s="58"/>
      <c r="I87" s="58"/>
      <c r="J87" s="58"/>
      <c r="K87" s="58"/>
      <c r="L87" s="58"/>
      <c r="M87" s="135"/>
      <c r="N87" s="58"/>
      <c r="O87" s="58"/>
      <c r="P87" s="58"/>
      <c r="Q87" s="58"/>
      <c r="R87" s="101"/>
      <c r="S87" s="101"/>
      <c r="T87" s="100"/>
      <c r="U87" s="101">
        <f>'2025'!M79</f>
        <v>0</v>
      </c>
      <c r="V87" s="101"/>
      <c r="W87" s="101"/>
      <c r="X87" s="101"/>
      <c r="Y87" s="101"/>
      <c r="Z87" s="58"/>
      <c r="AA87" s="101"/>
      <c r="AB87" s="102"/>
      <c r="AC87" s="103">
        <v>46053</v>
      </c>
    </row>
    <row r="88" spans="1:29" x14ac:dyDescent="0.25">
      <c r="A88" s="4">
        <v>85</v>
      </c>
      <c r="B88" s="133" t="s">
        <v>664</v>
      </c>
      <c r="C88" s="133" t="s">
        <v>651</v>
      </c>
      <c r="D88" s="115">
        <v>45261</v>
      </c>
      <c r="E88" s="115">
        <v>45261</v>
      </c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101">
        <v>0</v>
      </c>
      <c r="R88" s="101">
        <v>0</v>
      </c>
      <c r="S88" s="101">
        <v>0</v>
      </c>
      <c r="T88" s="101">
        <v>0</v>
      </c>
      <c r="U88" s="101">
        <f>'2025'!M80</f>
        <v>43</v>
      </c>
      <c r="V88" s="101"/>
      <c r="W88" s="101">
        <f t="shared" ref="W88:W100" si="20">SUM(P88:T88)</f>
        <v>0</v>
      </c>
      <c r="X88" s="101">
        <f>W88/5</f>
        <v>0</v>
      </c>
      <c r="Y88" s="101">
        <f>SUM(30-X88)*AA88</f>
        <v>65.095890410958901</v>
      </c>
      <c r="Z88" s="58">
        <f t="shared" ref="Z88:Z100" si="21">AC88-E88</f>
        <v>792</v>
      </c>
      <c r="AA88" s="101">
        <f>Z88/365</f>
        <v>2.1698630136986301</v>
      </c>
      <c r="AB88" s="102">
        <f t="shared" ref="AB88:AB100" si="22">SUM(AC88-D88)/365</f>
        <v>2.1698630136986301</v>
      </c>
      <c r="AC88" s="103">
        <v>46053</v>
      </c>
    </row>
    <row r="89" spans="1:29" x14ac:dyDescent="0.25">
      <c r="A89" s="4">
        <v>86</v>
      </c>
      <c r="B89" s="133" t="s">
        <v>662</v>
      </c>
      <c r="C89" s="133" t="s">
        <v>649</v>
      </c>
      <c r="D89" s="115">
        <v>45253</v>
      </c>
      <c r="E89" s="115">
        <v>45253</v>
      </c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101">
        <v>0</v>
      </c>
      <c r="R89" s="101">
        <v>0</v>
      </c>
      <c r="S89" s="101">
        <v>0</v>
      </c>
      <c r="T89" s="101">
        <v>0</v>
      </c>
      <c r="U89" s="101">
        <f>'2025'!M81</f>
        <v>0</v>
      </c>
      <c r="V89" s="101"/>
      <c r="W89" s="101">
        <f t="shared" si="20"/>
        <v>0</v>
      </c>
      <c r="X89" s="101">
        <f>W89/5</f>
        <v>0</v>
      </c>
      <c r="Y89" s="101">
        <f>SUM(30-X89)*AA89</f>
        <v>65.753424657534239</v>
      </c>
      <c r="Z89" s="58">
        <f t="shared" si="21"/>
        <v>800</v>
      </c>
      <c r="AA89" s="101">
        <f>Z89/365</f>
        <v>2.1917808219178081</v>
      </c>
      <c r="AB89" s="102">
        <f t="shared" si="22"/>
        <v>2.1917808219178081</v>
      </c>
      <c r="AC89" s="103">
        <v>46053</v>
      </c>
    </row>
    <row r="90" spans="1:29" x14ac:dyDescent="0.25">
      <c r="A90" s="4">
        <v>87</v>
      </c>
      <c r="B90" s="133" t="s">
        <v>663</v>
      </c>
      <c r="C90" s="133" t="s">
        <v>650</v>
      </c>
      <c r="D90" s="115">
        <v>45261</v>
      </c>
      <c r="E90" s="115">
        <v>45261</v>
      </c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101">
        <v>0</v>
      </c>
      <c r="R90" s="101">
        <v>0</v>
      </c>
      <c r="S90" s="101">
        <v>0</v>
      </c>
      <c r="T90" s="101">
        <v>0</v>
      </c>
      <c r="U90" s="101">
        <f>'2025'!M82</f>
        <v>0</v>
      </c>
      <c r="V90" s="101"/>
      <c r="W90" s="101">
        <f t="shared" si="20"/>
        <v>0</v>
      </c>
      <c r="X90" s="101">
        <f>W90/5</f>
        <v>0</v>
      </c>
      <c r="Y90" s="101">
        <f>SUM(30-X90)*AA90</f>
        <v>65.095890410958901</v>
      </c>
      <c r="Z90" s="58">
        <f t="shared" si="21"/>
        <v>792</v>
      </c>
      <c r="AA90" s="101">
        <f>Z90/365</f>
        <v>2.1698630136986301</v>
      </c>
      <c r="AB90" s="102">
        <f t="shared" si="22"/>
        <v>2.1698630136986301</v>
      </c>
      <c r="AC90" s="103">
        <v>46053</v>
      </c>
    </row>
    <row r="91" spans="1:29" x14ac:dyDescent="0.25">
      <c r="A91" s="4">
        <v>88</v>
      </c>
      <c r="B91" s="133" t="s">
        <v>669</v>
      </c>
      <c r="C91" s="133" t="s">
        <v>656</v>
      </c>
      <c r="D91" s="115">
        <v>45330</v>
      </c>
      <c r="E91" s="115">
        <v>45330</v>
      </c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101">
        <v>0</v>
      </c>
      <c r="R91" s="101">
        <v>0</v>
      </c>
      <c r="S91" s="101">
        <v>0</v>
      </c>
      <c r="T91" s="101">
        <v>0</v>
      </c>
      <c r="U91" s="101">
        <f>'2025'!M83</f>
        <v>0</v>
      </c>
      <c r="V91" s="101"/>
      <c r="W91" s="101">
        <f t="shared" si="20"/>
        <v>0</v>
      </c>
      <c r="X91" s="101">
        <f>W91/5</f>
        <v>0</v>
      </c>
      <c r="Y91" s="101">
        <f>SUM(30-X91)*AA91</f>
        <v>59.424657534246577</v>
      </c>
      <c r="Z91" s="58">
        <f t="shared" si="21"/>
        <v>723</v>
      </c>
      <c r="AA91" s="101">
        <f>Z91/365</f>
        <v>1.9808219178082191</v>
      </c>
      <c r="AB91" s="102">
        <f t="shared" si="22"/>
        <v>1.9808219178082191</v>
      </c>
      <c r="AC91" s="103">
        <v>46053</v>
      </c>
    </row>
    <row r="92" spans="1:29" x14ac:dyDescent="0.25">
      <c r="A92" s="4">
        <v>89</v>
      </c>
      <c r="B92" s="58"/>
      <c r="C92" s="133" t="s">
        <v>687</v>
      </c>
      <c r="D92" s="115">
        <v>45329</v>
      </c>
      <c r="E92" s="115">
        <v>45436</v>
      </c>
      <c r="F92" s="58"/>
      <c r="G92" s="58"/>
      <c r="H92" s="58"/>
      <c r="I92" s="58"/>
      <c r="J92" s="58"/>
      <c r="K92" s="58"/>
      <c r="L92" s="58"/>
      <c r="M92" s="58"/>
      <c r="N92" s="101"/>
      <c r="O92" s="58"/>
      <c r="P92" s="102"/>
      <c r="Q92" s="103"/>
      <c r="R92" s="101"/>
      <c r="S92" s="58"/>
      <c r="T92" s="102"/>
      <c r="U92" s="101">
        <f>'2025'!M84</f>
        <v>0</v>
      </c>
      <c r="V92" s="101"/>
      <c r="W92" s="101">
        <f t="shared" si="20"/>
        <v>0</v>
      </c>
      <c r="X92" s="101"/>
      <c r="Y92" s="101">
        <f t="shared" ref="Y92" si="23">SUM(30-X92)*AA92</f>
        <v>50.712328767123289</v>
      </c>
      <c r="Z92" s="58">
        <f t="shared" si="21"/>
        <v>617</v>
      </c>
      <c r="AA92" s="101">
        <f t="shared" ref="AA92" si="24">Z92/365</f>
        <v>1.6904109589041096</v>
      </c>
      <c r="AB92" s="102">
        <f t="shared" si="22"/>
        <v>1.9835616438356165</v>
      </c>
      <c r="AC92" s="103">
        <v>46053</v>
      </c>
    </row>
    <row r="93" spans="1:29" x14ac:dyDescent="0.25">
      <c r="A93" s="4">
        <v>90</v>
      </c>
      <c r="B93" s="133" t="s">
        <v>668</v>
      </c>
      <c r="C93" s="133" t="s">
        <v>655</v>
      </c>
      <c r="D93" s="115">
        <v>45325</v>
      </c>
      <c r="E93" s="115">
        <v>45325</v>
      </c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101">
        <v>0</v>
      </c>
      <c r="R93" s="101">
        <v>0</v>
      </c>
      <c r="S93" s="101">
        <v>0</v>
      </c>
      <c r="T93" s="101">
        <v>0</v>
      </c>
      <c r="U93" s="101">
        <f>'2025'!M148</f>
        <v>0</v>
      </c>
      <c r="V93" s="101"/>
      <c r="W93" s="101">
        <f t="shared" si="20"/>
        <v>0</v>
      </c>
      <c r="X93" s="101">
        <f>W93/5</f>
        <v>0</v>
      </c>
      <c r="Y93" s="101">
        <f t="shared" ref="Y93:Y100" si="25">SUM(30-X93)*AA93</f>
        <v>59.835616438356162</v>
      </c>
      <c r="Z93" s="58">
        <f t="shared" si="21"/>
        <v>728</v>
      </c>
      <c r="AA93" s="101">
        <f t="shared" ref="AA93:AA100" si="26">Z93/365</f>
        <v>1.9945205479452055</v>
      </c>
      <c r="AB93" s="102">
        <f t="shared" si="22"/>
        <v>1.9945205479452055</v>
      </c>
      <c r="AC93" s="103">
        <v>46053</v>
      </c>
    </row>
    <row r="94" spans="1:29" x14ac:dyDescent="0.25">
      <c r="A94" s="4">
        <v>91</v>
      </c>
      <c r="B94" s="133" t="s">
        <v>667</v>
      </c>
      <c r="C94" s="133" t="s">
        <v>654</v>
      </c>
      <c r="D94" s="115">
        <v>45324</v>
      </c>
      <c r="E94" s="115">
        <v>45385</v>
      </c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101">
        <v>0</v>
      </c>
      <c r="R94" s="101">
        <v>0</v>
      </c>
      <c r="S94" s="101">
        <v>0</v>
      </c>
      <c r="T94" s="101">
        <v>0</v>
      </c>
      <c r="U94" s="101">
        <f>'2025'!M85</f>
        <v>17</v>
      </c>
      <c r="V94" s="101"/>
      <c r="W94" s="101">
        <f t="shared" si="20"/>
        <v>0</v>
      </c>
      <c r="X94" s="101">
        <f>W94/5</f>
        <v>0</v>
      </c>
      <c r="Y94" s="101">
        <f t="shared" si="25"/>
        <v>54.904109589041099</v>
      </c>
      <c r="Z94" s="58">
        <f t="shared" si="21"/>
        <v>668</v>
      </c>
      <c r="AA94" s="101">
        <f t="shared" si="26"/>
        <v>1.8301369863013699</v>
      </c>
      <c r="AB94" s="102">
        <f t="shared" si="22"/>
        <v>1.9972602739726026</v>
      </c>
      <c r="AC94" s="103">
        <v>46053</v>
      </c>
    </row>
    <row r="95" spans="1:29" ht="15.75" customHeight="1" x14ac:dyDescent="0.25">
      <c r="A95" s="4">
        <v>92</v>
      </c>
      <c r="B95" s="133" t="s">
        <v>672</v>
      </c>
      <c r="C95" s="133" t="s">
        <v>659</v>
      </c>
      <c r="D95" s="115">
        <v>45362</v>
      </c>
      <c r="E95" s="115">
        <v>45428</v>
      </c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101">
        <v>0</v>
      </c>
      <c r="R95" s="101">
        <v>0</v>
      </c>
      <c r="S95" s="101">
        <v>0</v>
      </c>
      <c r="T95" s="101">
        <v>0</v>
      </c>
      <c r="U95" s="101">
        <f>'2025'!M86</f>
        <v>27</v>
      </c>
      <c r="V95" s="101"/>
      <c r="W95" s="101">
        <f t="shared" si="20"/>
        <v>0</v>
      </c>
      <c r="X95" s="101">
        <f>W95/5</f>
        <v>0</v>
      </c>
      <c r="Y95" s="101">
        <f t="shared" si="25"/>
        <v>51.369863013698627</v>
      </c>
      <c r="Z95" s="58">
        <f t="shared" si="21"/>
        <v>625</v>
      </c>
      <c r="AA95" s="101">
        <f t="shared" si="26"/>
        <v>1.7123287671232876</v>
      </c>
      <c r="AB95" s="102">
        <f t="shared" si="22"/>
        <v>1.893150684931507</v>
      </c>
      <c r="AC95" s="103">
        <v>46053</v>
      </c>
    </row>
    <row r="96" spans="1:29" x14ac:dyDescent="0.25">
      <c r="A96" s="4">
        <v>93</v>
      </c>
      <c r="B96" s="133" t="s">
        <v>674</v>
      </c>
      <c r="C96" s="133" t="s">
        <v>661</v>
      </c>
      <c r="D96" s="115">
        <v>45371</v>
      </c>
      <c r="E96" s="115">
        <v>45371</v>
      </c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101">
        <v>0</v>
      </c>
      <c r="R96" s="101">
        <v>0</v>
      </c>
      <c r="S96" s="101">
        <v>0</v>
      </c>
      <c r="T96" s="101">
        <v>0</v>
      </c>
      <c r="U96" s="101">
        <f>'2025'!M87</f>
        <v>0</v>
      </c>
      <c r="V96" s="101"/>
      <c r="W96" s="101">
        <f t="shared" si="20"/>
        <v>0</v>
      </c>
      <c r="X96" s="101">
        <f>W96/5</f>
        <v>0</v>
      </c>
      <c r="Y96" s="101">
        <f t="shared" si="25"/>
        <v>56.054794520547951</v>
      </c>
      <c r="Z96" s="58">
        <f t="shared" si="21"/>
        <v>682</v>
      </c>
      <c r="AA96" s="101">
        <f t="shared" si="26"/>
        <v>1.8684931506849316</v>
      </c>
      <c r="AB96" s="102">
        <f t="shared" si="22"/>
        <v>1.8684931506849316</v>
      </c>
      <c r="AC96" s="103">
        <v>46053</v>
      </c>
    </row>
    <row r="97" spans="1:29" x14ac:dyDescent="0.25">
      <c r="A97" s="4">
        <v>94</v>
      </c>
      <c r="B97" s="133" t="s">
        <v>670</v>
      </c>
      <c r="C97" s="133" t="s">
        <v>657</v>
      </c>
      <c r="D97" s="115">
        <v>45357</v>
      </c>
      <c r="E97" s="115">
        <v>45357</v>
      </c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101">
        <v>0</v>
      </c>
      <c r="R97" s="101">
        <v>0</v>
      </c>
      <c r="S97" s="101">
        <v>0</v>
      </c>
      <c r="T97" s="101">
        <v>0</v>
      </c>
      <c r="U97" s="101">
        <f>'2025'!M88</f>
        <v>0</v>
      </c>
      <c r="V97" s="101"/>
      <c r="W97" s="101">
        <f t="shared" si="20"/>
        <v>0</v>
      </c>
      <c r="X97" s="101">
        <f>W97/5</f>
        <v>0</v>
      </c>
      <c r="Y97" s="101">
        <f t="shared" si="25"/>
        <v>57.205479452054796</v>
      </c>
      <c r="Z97" s="58">
        <f t="shared" si="21"/>
        <v>696</v>
      </c>
      <c r="AA97" s="101">
        <f t="shared" si="26"/>
        <v>1.9068493150684931</v>
      </c>
      <c r="AB97" s="102">
        <f t="shared" si="22"/>
        <v>1.9068493150684931</v>
      </c>
      <c r="AC97" s="103">
        <v>46053</v>
      </c>
    </row>
    <row r="98" spans="1:29" ht="16.5" customHeight="1" x14ac:dyDescent="0.25">
      <c r="A98" s="4">
        <v>95</v>
      </c>
      <c r="B98" s="133" t="s">
        <v>682</v>
      </c>
      <c r="C98" s="133" t="s">
        <v>678</v>
      </c>
      <c r="D98" s="115">
        <v>45434</v>
      </c>
      <c r="E98" s="115">
        <v>45434</v>
      </c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101">
        <v>0</v>
      </c>
      <c r="R98" s="101">
        <v>0</v>
      </c>
      <c r="S98" s="101">
        <v>0</v>
      </c>
      <c r="T98" s="101">
        <v>0</v>
      </c>
      <c r="U98" s="101">
        <f>'2025'!M89</f>
        <v>0</v>
      </c>
      <c r="V98" s="101"/>
      <c r="W98" s="101">
        <f t="shared" si="20"/>
        <v>0</v>
      </c>
      <c r="X98" s="101"/>
      <c r="Y98" s="101">
        <f t="shared" si="25"/>
        <v>50.876712328767127</v>
      </c>
      <c r="Z98" s="58">
        <f t="shared" si="21"/>
        <v>619</v>
      </c>
      <c r="AA98" s="101">
        <f t="shared" si="26"/>
        <v>1.6958904109589041</v>
      </c>
      <c r="AB98" s="102">
        <f t="shared" si="22"/>
        <v>1.6958904109589041</v>
      </c>
      <c r="AC98" s="103">
        <v>46053</v>
      </c>
    </row>
    <row r="99" spans="1:29" x14ac:dyDescent="0.25">
      <c r="A99" s="4">
        <v>96</v>
      </c>
      <c r="B99" s="133" t="s">
        <v>671</v>
      </c>
      <c r="C99" s="133" t="s">
        <v>658</v>
      </c>
      <c r="D99" s="115">
        <v>45360</v>
      </c>
      <c r="E99" s="115">
        <v>45360</v>
      </c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101">
        <v>0</v>
      </c>
      <c r="R99" s="101">
        <v>0</v>
      </c>
      <c r="S99" s="101">
        <v>0</v>
      </c>
      <c r="T99" s="101">
        <v>0</v>
      </c>
      <c r="U99" s="101">
        <f>'2025'!M90</f>
        <v>0</v>
      </c>
      <c r="V99" s="101"/>
      <c r="W99" s="101">
        <f t="shared" si="20"/>
        <v>0</v>
      </c>
      <c r="X99" s="101">
        <f>W99/5</f>
        <v>0</v>
      </c>
      <c r="Y99" s="101">
        <f t="shared" si="25"/>
        <v>56.958904109589042</v>
      </c>
      <c r="Z99" s="58">
        <f t="shared" si="21"/>
        <v>693</v>
      </c>
      <c r="AA99" s="101">
        <f t="shared" si="26"/>
        <v>1.8986301369863015</v>
      </c>
      <c r="AB99" s="102">
        <f t="shared" si="22"/>
        <v>1.8986301369863015</v>
      </c>
      <c r="AC99" s="103">
        <v>46053</v>
      </c>
    </row>
    <row r="100" spans="1:29" x14ac:dyDescent="0.25">
      <c r="A100" s="4">
        <v>97</v>
      </c>
      <c r="B100" s="133" t="s">
        <v>681</v>
      </c>
      <c r="C100" s="133" t="s">
        <v>677</v>
      </c>
      <c r="D100" s="115">
        <v>45432</v>
      </c>
      <c r="E100" s="115">
        <v>45432</v>
      </c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101">
        <v>0</v>
      </c>
      <c r="R100" s="101">
        <v>0</v>
      </c>
      <c r="S100" s="101">
        <v>0</v>
      </c>
      <c r="T100" s="101">
        <v>0</v>
      </c>
      <c r="U100" s="101">
        <f>'2025'!M91</f>
        <v>0</v>
      </c>
      <c r="V100" s="101"/>
      <c r="W100" s="101">
        <f t="shared" si="20"/>
        <v>0</v>
      </c>
      <c r="X100" s="101"/>
      <c r="Y100" s="101">
        <f t="shared" si="25"/>
        <v>51.041095890410958</v>
      </c>
      <c r="Z100" s="58">
        <f t="shared" si="21"/>
        <v>621</v>
      </c>
      <c r="AA100" s="101">
        <f t="shared" si="26"/>
        <v>1.7013698630136986</v>
      </c>
      <c r="AB100" s="102">
        <f t="shared" si="22"/>
        <v>1.7013698630136986</v>
      </c>
      <c r="AC100" s="103">
        <v>46053</v>
      </c>
    </row>
    <row r="101" spans="1:29" x14ac:dyDescent="0.25">
      <c r="A101" s="4">
        <v>98</v>
      </c>
      <c r="B101" s="133" t="s">
        <v>706</v>
      </c>
      <c r="C101" s="133" t="s">
        <v>693</v>
      </c>
      <c r="D101" s="115">
        <v>45448</v>
      </c>
      <c r="E101" s="134">
        <v>45497</v>
      </c>
      <c r="F101" s="58"/>
      <c r="G101" s="58"/>
      <c r="H101" s="58"/>
      <c r="I101" s="58"/>
      <c r="J101" s="58"/>
      <c r="K101" s="58"/>
      <c r="L101" s="58"/>
      <c r="M101" s="135"/>
      <c r="N101" s="58"/>
      <c r="O101" s="58"/>
      <c r="P101" s="58"/>
      <c r="Q101" s="58"/>
      <c r="R101" s="101"/>
      <c r="S101" s="101"/>
      <c r="T101" s="100"/>
      <c r="U101" s="101">
        <f>'2025'!M92</f>
        <v>0</v>
      </c>
      <c r="V101" s="101"/>
      <c r="W101" s="101"/>
      <c r="X101" s="101"/>
      <c r="Y101" s="101"/>
      <c r="Z101" s="58"/>
      <c r="AA101" s="101"/>
      <c r="AB101" s="102"/>
      <c r="AC101" s="103">
        <v>46053</v>
      </c>
    </row>
    <row r="102" spans="1:29" x14ac:dyDescent="0.25">
      <c r="A102" s="4">
        <v>99</v>
      </c>
      <c r="B102" s="133" t="s">
        <v>683</v>
      </c>
      <c r="C102" s="133" t="s">
        <v>679</v>
      </c>
      <c r="D102" s="115">
        <v>45421</v>
      </c>
      <c r="E102" s="115">
        <v>45510</v>
      </c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101">
        <v>0</v>
      </c>
      <c r="R102" s="101">
        <v>0</v>
      </c>
      <c r="S102" s="101">
        <v>0</v>
      </c>
      <c r="T102" s="101">
        <v>0</v>
      </c>
      <c r="U102" s="101">
        <f>'2025'!M93</f>
        <v>0</v>
      </c>
      <c r="V102" s="101"/>
      <c r="W102" s="101">
        <f>SUM(P102:T102)</f>
        <v>0</v>
      </c>
      <c r="X102" s="101"/>
      <c r="Y102" s="101">
        <f>SUM(30-X102)*AA102</f>
        <v>61.397260273972599</v>
      </c>
      <c r="Z102" s="58">
        <f>AC102-E102</f>
        <v>747</v>
      </c>
      <c r="AA102" s="101">
        <f>Z102/365</f>
        <v>2.0465753424657533</v>
      </c>
      <c r="AB102" s="102">
        <f>SUM(AC102-D102)/365</f>
        <v>2.2904109589041095</v>
      </c>
      <c r="AC102" s="103">
        <v>46257</v>
      </c>
    </row>
    <row r="103" spans="1:29" x14ac:dyDescent="0.25">
      <c r="A103" s="4">
        <v>100</v>
      </c>
      <c r="B103" s="133" t="s">
        <v>707</v>
      </c>
      <c r="C103" s="133" t="s">
        <v>694</v>
      </c>
      <c r="D103" s="134">
        <v>45560</v>
      </c>
      <c r="E103" s="134">
        <v>45572</v>
      </c>
      <c r="F103" s="58"/>
      <c r="G103" s="58"/>
      <c r="H103" s="58"/>
      <c r="I103" s="58"/>
      <c r="J103" s="58"/>
      <c r="K103" s="58"/>
      <c r="L103" s="58"/>
      <c r="M103" s="135"/>
      <c r="N103" s="58"/>
      <c r="O103" s="58"/>
      <c r="P103" s="58"/>
      <c r="Q103" s="58"/>
      <c r="R103" s="101"/>
      <c r="S103" s="101"/>
      <c r="T103" s="100"/>
      <c r="U103" s="101">
        <f>'2025'!M94</f>
        <v>0</v>
      </c>
      <c r="V103" s="101"/>
      <c r="W103" s="101"/>
      <c r="X103" s="101"/>
      <c r="Y103" s="101"/>
      <c r="Z103" s="58"/>
      <c r="AA103" s="101"/>
      <c r="AB103" s="102"/>
      <c r="AC103" s="103">
        <v>46053</v>
      </c>
    </row>
    <row r="104" spans="1:29" x14ac:dyDescent="0.25">
      <c r="A104" s="4">
        <v>101</v>
      </c>
      <c r="B104" s="133" t="s">
        <v>701</v>
      </c>
      <c r="C104" s="133" t="s">
        <v>695</v>
      </c>
      <c r="D104" s="134">
        <v>45570</v>
      </c>
      <c r="E104" s="134">
        <v>45587</v>
      </c>
      <c r="F104" s="58"/>
      <c r="G104" s="58"/>
      <c r="H104" s="58"/>
      <c r="I104" s="58"/>
      <c r="J104" s="58"/>
      <c r="K104" s="58"/>
      <c r="L104" s="58"/>
      <c r="M104" s="135"/>
      <c r="N104" s="58"/>
      <c r="O104" s="58"/>
      <c r="P104" s="58"/>
      <c r="Q104" s="58"/>
      <c r="R104" s="101"/>
      <c r="S104" s="101"/>
      <c r="T104" s="100"/>
      <c r="U104" s="101">
        <f>'2025'!M95</f>
        <v>0</v>
      </c>
      <c r="V104" s="101"/>
      <c r="W104" s="101"/>
      <c r="X104" s="101"/>
      <c r="Y104" s="101"/>
      <c r="Z104" s="58"/>
      <c r="AA104" s="101"/>
      <c r="AB104" s="102"/>
      <c r="AC104" s="103">
        <v>46053</v>
      </c>
    </row>
    <row r="105" spans="1:29" x14ac:dyDescent="0.25">
      <c r="A105" s="4">
        <v>102</v>
      </c>
      <c r="B105" s="91" t="s">
        <v>436</v>
      </c>
      <c r="C105" s="91" t="s">
        <v>566</v>
      </c>
      <c r="D105" s="134">
        <v>39083</v>
      </c>
      <c r="E105" s="134">
        <v>44197</v>
      </c>
      <c r="F105" s="102">
        <v>0</v>
      </c>
      <c r="G105" s="99">
        <v>93</v>
      </c>
      <c r="H105" s="102">
        <v>67</v>
      </c>
      <c r="I105" s="102">
        <f>'2013'!I37</f>
        <v>0</v>
      </c>
      <c r="J105" s="58"/>
      <c r="K105" s="58"/>
      <c r="L105" s="58"/>
      <c r="M105" s="135"/>
      <c r="N105" s="101">
        <f>'2018'!M73</f>
        <v>0</v>
      </c>
      <c r="O105" s="101">
        <f>'2019'!M75</f>
        <v>0</v>
      </c>
      <c r="P105" s="100">
        <v>207</v>
      </c>
      <c r="Q105" s="101">
        <v>0</v>
      </c>
      <c r="R105" s="101">
        <v>0</v>
      </c>
      <c r="S105" s="100">
        <v>66</v>
      </c>
      <c r="T105" s="101">
        <v>0</v>
      </c>
      <c r="U105" s="101">
        <f>'2025'!M96</f>
        <v>0</v>
      </c>
      <c r="V105" s="101"/>
      <c r="W105" s="101">
        <f>SUM(P105:T105)</f>
        <v>273</v>
      </c>
      <c r="X105" s="101">
        <f t="shared" si="2"/>
        <v>54.6</v>
      </c>
      <c r="Y105" s="101">
        <f t="shared" si="3"/>
        <v>-125.08931506849316</v>
      </c>
      <c r="Z105" s="58">
        <f t="shared" ref="Z105:Z112" si="27">AC105-E105</f>
        <v>1856</v>
      </c>
      <c r="AA105" s="101">
        <f t="shared" si="4"/>
        <v>5.0849315068493155</v>
      </c>
      <c r="AB105" s="102">
        <f t="shared" ref="AB105:AB112" si="28">SUM(AC105-D105)/365</f>
        <v>19.095890410958905</v>
      </c>
      <c r="AC105" s="103">
        <v>46053</v>
      </c>
    </row>
    <row r="106" spans="1:29" x14ac:dyDescent="0.25">
      <c r="A106" s="4">
        <v>103</v>
      </c>
      <c r="B106" s="133" t="s">
        <v>437</v>
      </c>
      <c r="C106" s="133" t="s">
        <v>567</v>
      </c>
      <c r="D106" s="134">
        <v>39083</v>
      </c>
      <c r="E106" s="134">
        <v>44197</v>
      </c>
      <c r="F106" s="102">
        <v>5</v>
      </c>
      <c r="G106" s="102">
        <v>19</v>
      </c>
      <c r="H106" s="102">
        <v>0</v>
      </c>
      <c r="I106" s="99">
        <f>'2013'!I38</f>
        <v>74</v>
      </c>
      <c r="J106" s="58"/>
      <c r="K106" s="58"/>
      <c r="L106" s="58"/>
      <c r="M106" s="135"/>
      <c r="N106" s="101">
        <f>'2018'!M74</f>
        <v>0</v>
      </c>
      <c r="O106" s="100">
        <f>'2019'!M76</f>
        <v>76</v>
      </c>
      <c r="P106" s="101">
        <v>0</v>
      </c>
      <c r="Q106" s="100">
        <v>32</v>
      </c>
      <c r="R106" s="101">
        <v>64</v>
      </c>
      <c r="S106" s="101">
        <v>0</v>
      </c>
      <c r="T106" s="100">
        <v>59</v>
      </c>
      <c r="U106" s="101">
        <f>'2025'!M97</f>
        <v>12</v>
      </c>
      <c r="V106" s="101"/>
      <c r="W106" s="101">
        <f>SUM(P106:T106)</f>
        <v>155</v>
      </c>
      <c r="X106" s="101">
        <f t="shared" ref="X106:X139" si="29">W106/5</f>
        <v>31</v>
      </c>
      <c r="Y106" s="101">
        <f t="shared" si="3"/>
        <v>-5.0849315068493155</v>
      </c>
      <c r="Z106" s="58">
        <f t="shared" si="27"/>
        <v>1856</v>
      </c>
      <c r="AA106" s="101">
        <f t="shared" si="4"/>
        <v>5.0849315068493155</v>
      </c>
      <c r="AB106" s="102">
        <f t="shared" si="28"/>
        <v>19.095890410958905</v>
      </c>
      <c r="AC106" s="103">
        <v>46053</v>
      </c>
    </row>
    <row r="107" spans="1:29" x14ac:dyDescent="0.25">
      <c r="A107" s="4">
        <v>104</v>
      </c>
      <c r="B107" s="133" t="s">
        <v>438</v>
      </c>
      <c r="C107" s="133" t="s">
        <v>568</v>
      </c>
      <c r="D107" s="134">
        <v>40940</v>
      </c>
      <c r="E107" s="134">
        <v>44197</v>
      </c>
      <c r="F107" s="108">
        <v>0</v>
      </c>
      <c r="G107" s="108"/>
      <c r="H107" s="58">
        <v>0</v>
      </c>
      <c r="I107" s="58">
        <f>'2013'!I40</f>
        <v>0</v>
      </c>
      <c r="J107" s="58"/>
      <c r="K107" s="58"/>
      <c r="L107" s="58"/>
      <c r="M107" s="135"/>
      <c r="N107" s="100">
        <f>'2018'!M75</f>
        <v>85</v>
      </c>
      <c r="O107" s="101">
        <f>'2019'!M77</f>
        <v>0</v>
      </c>
      <c r="P107" s="101">
        <v>0</v>
      </c>
      <c r="Q107" s="100">
        <v>0</v>
      </c>
      <c r="R107" s="101">
        <v>74</v>
      </c>
      <c r="S107" s="101">
        <v>0</v>
      </c>
      <c r="T107" s="101">
        <v>23</v>
      </c>
      <c r="U107" s="100">
        <f>'2025'!M98</f>
        <v>59</v>
      </c>
      <c r="V107" s="101"/>
      <c r="W107" s="101">
        <f>SUM(P107:T107)</f>
        <v>97</v>
      </c>
      <c r="X107" s="101">
        <f t="shared" si="29"/>
        <v>19.399999999999999</v>
      </c>
      <c r="Y107" s="101">
        <f t="shared" ref="Y107:Y139" si="30">SUM(30-X107)*AA107</f>
        <v>53.900273972602754</v>
      </c>
      <c r="Z107" s="58">
        <f t="shared" si="27"/>
        <v>1856</v>
      </c>
      <c r="AA107" s="101">
        <f t="shared" ref="AA107:AA139" si="31">Z107/365</f>
        <v>5.0849315068493155</v>
      </c>
      <c r="AB107" s="102">
        <f t="shared" si="28"/>
        <v>14.008219178082191</v>
      </c>
      <c r="AC107" s="103">
        <v>46053</v>
      </c>
    </row>
    <row r="108" spans="1:29" x14ac:dyDescent="0.25">
      <c r="A108" s="4">
        <v>105</v>
      </c>
      <c r="B108" s="133" t="s">
        <v>439</v>
      </c>
      <c r="C108" s="133" t="s">
        <v>569</v>
      </c>
      <c r="D108" s="134">
        <v>40848</v>
      </c>
      <c r="E108" s="134">
        <v>44197</v>
      </c>
      <c r="F108" s="76"/>
      <c r="G108" s="102"/>
      <c r="H108" s="102">
        <v>0</v>
      </c>
      <c r="I108" s="102">
        <f>'2013'!I61</f>
        <v>0</v>
      </c>
      <c r="J108" s="58"/>
      <c r="K108" s="58"/>
      <c r="L108" s="58"/>
      <c r="M108" s="135"/>
      <c r="N108" s="101">
        <f>'2018'!M97</f>
        <v>0</v>
      </c>
      <c r="O108" s="101">
        <f>'2019'!M100</f>
        <v>0</v>
      </c>
      <c r="P108" s="100">
        <v>102</v>
      </c>
      <c r="Q108" s="101">
        <v>0</v>
      </c>
      <c r="R108" s="100">
        <v>80</v>
      </c>
      <c r="S108" s="101">
        <v>0</v>
      </c>
      <c r="T108" s="101">
        <v>0</v>
      </c>
      <c r="U108" s="100">
        <f>'2025'!M99</f>
        <v>76</v>
      </c>
      <c r="V108" s="101"/>
      <c r="W108" s="101">
        <f>SUM(P108:U108)</f>
        <v>258</v>
      </c>
      <c r="X108" s="101">
        <f t="shared" si="29"/>
        <v>51.6</v>
      </c>
      <c r="Y108" s="101">
        <f t="shared" si="30"/>
        <v>-109.83452054794522</v>
      </c>
      <c r="Z108" s="58">
        <f t="shared" si="27"/>
        <v>1856</v>
      </c>
      <c r="AA108" s="101">
        <f t="shared" si="31"/>
        <v>5.0849315068493155</v>
      </c>
      <c r="AB108" s="102">
        <f t="shared" si="28"/>
        <v>14.260273972602739</v>
      </c>
      <c r="AC108" s="103">
        <v>46053</v>
      </c>
    </row>
    <row r="109" spans="1:29" x14ac:dyDescent="0.25">
      <c r="A109" s="4">
        <v>106</v>
      </c>
      <c r="B109" s="133" t="s">
        <v>440</v>
      </c>
      <c r="C109" s="133" t="s">
        <v>570</v>
      </c>
      <c r="D109" s="134">
        <v>39173</v>
      </c>
      <c r="E109" s="134">
        <v>44197</v>
      </c>
      <c r="F109" s="102">
        <v>0</v>
      </c>
      <c r="G109" s="102">
        <v>0</v>
      </c>
      <c r="H109" s="99">
        <v>114</v>
      </c>
      <c r="I109" s="102">
        <f>'2013'!I54</f>
        <v>0</v>
      </c>
      <c r="J109" s="58"/>
      <c r="K109" s="58"/>
      <c r="L109" s="58"/>
      <c r="M109" s="135"/>
      <c r="N109" s="101">
        <f>'2018'!M86</f>
        <v>11</v>
      </c>
      <c r="O109" s="100">
        <f>'2019'!M78</f>
        <v>77</v>
      </c>
      <c r="P109" s="101">
        <v>0</v>
      </c>
      <c r="Q109" s="101">
        <v>0</v>
      </c>
      <c r="R109" s="100">
        <v>39</v>
      </c>
      <c r="S109" s="101">
        <v>50</v>
      </c>
      <c r="T109" s="100">
        <v>57</v>
      </c>
      <c r="U109" s="101">
        <f>'2025'!M100</f>
        <v>12</v>
      </c>
      <c r="V109" s="101"/>
      <c r="W109" s="101">
        <f>SUM(P109:T109)</f>
        <v>146</v>
      </c>
      <c r="X109" s="101">
        <f t="shared" si="29"/>
        <v>29.2</v>
      </c>
      <c r="Y109" s="101">
        <f t="shared" si="30"/>
        <v>4.0679452054794556</v>
      </c>
      <c r="Z109" s="58">
        <f t="shared" si="27"/>
        <v>1856</v>
      </c>
      <c r="AA109" s="101">
        <f t="shared" si="31"/>
        <v>5.0849315068493155</v>
      </c>
      <c r="AB109" s="102">
        <f t="shared" si="28"/>
        <v>18.849315068493151</v>
      </c>
      <c r="AC109" s="103">
        <v>46053</v>
      </c>
    </row>
    <row r="110" spans="1:29" x14ac:dyDescent="0.25">
      <c r="A110" s="4">
        <v>107</v>
      </c>
      <c r="B110" s="133" t="s">
        <v>441</v>
      </c>
      <c r="C110" s="133" t="s">
        <v>571</v>
      </c>
      <c r="D110" s="134">
        <v>44105</v>
      </c>
      <c r="E110" s="134">
        <v>44105</v>
      </c>
      <c r="F110" s="102"/>
      <c r="G110" s="102"/>
      <c r="H110" s="99"/>
      <c r="I110" s="102"/>
      <c r="J110" s="58"/>
      <c r="K110" s="58"/>
      <c r="L110" s="58"/>
      <c r="M110" s="135"/>
      <c r="N110" s="101"/>
      <c r="O110" s="101"/>
      <c r="P110" s="101"/>
      <c r="Q110" s="101">
        <v>0</v>
      </c>
      <c r="R110" s="101">
        <v>0</v>
      </c>
      <c r="S110" s="101">
        <v>0</v>
      </c>
      <c r="T110" s="100">
        <v>69</v>
      </c>
      <c r="U110" s="101">
        <f>'2025'!M101</f>
        <v>0</v>
      </c>
      <c r="V110" s="101"/>
      <c r="W110" s="101">
        <f>SUM(P110:T110)</f>
        <v>69</v>
      </c>
      <c r="X110" s="101">
        <f t="shared" si="29"/>
        <v>13.8</v>
      </c>
      <c r="Y110" s="101">
        <f t="shared" si="30"/>
        <v>86.459178082191769</v>
      </c>
      <c r="Z110" s="58">
        <f t="shared" si="27"/>
        <v>1948</v>
      </c>
      <c r="AA110" s="101">
        <f t="shared" si="31"/>
        <v>5.3369863013698629</v>
      </c>
      <c r="AB110" s="102">
        <f t="shared" si="28"/>
        <v>5.3369863013698629</v>
      </c>
      <c r="AC110" s="103">
        <v>46053</v>
      </c>
    </row>
    <row r="111" spans="1:29" x14ac:dyDescent="0.25">
      <c r="A111" s="4">
        <v>108</v>
      </c>
      <c r="B111" s="133" t="s">
        <v>442</v>
      </c>
      <c r="C111" s="133" t="s">
        <v>572</v>
      </c>
      <c r="D111" s="134">
        <v>44378</v>
      </c>
      <c r="E111" s="134">
        <v>44378</v>
      </c>
      <c r="F111" s="102"/>
      <c r="G111" s="102"/>
      <c r="H111" s="99"/>
      <c r="I111" s="102"/>
      <c r="J111" s="58"/>
      <c r="K111" s="58"/>
      <c r="L111" s="58"/>
      <c r="M111" s="135"/>
      <c r="N111" s="101"/>
      <c r="O111" s="101"/>
      <c r="P111" s="101"/>
      <c r="Q111" s="101">
        <v>0</v>
      </c>
      <c r="R111" s="101">
        <v>0</v>
      </c>
      <c r="S111" s="101">
        <v>0</v>
      </c>
      <c r="T111" s="101">
        <v>0</v>
      </c>
      <c r="U111" s="101">
        <f>'2025'!M102</f>
        <v>0</v>
      </c>
      <c r="V111" s="101"/>
      <c r="W111" s="101">
        <f>SUM(P111:T111)</f>
        <v>0</v>
      </c>
      <c r="X111" s="101">
        <f t="shared" si="29"/>
        <v>0</v>
      </c>
      <c r="Y111" s="101">
        <f t="shared" si="30"/>
        <v>137.67123287671234</v>
      </c>
      <c r="Z111" s="58">
        <f t="shared" si="27"/>
        <v>1675</v>
      </c>
      <c r="AA111" s="101">
        <f t="shared" si="31"/>
        <v>4.5890410958904111</v>
      </c>
      <c r="AB111" s="102">
        <f t="shared" si="28"/>
        <v>4.5890410958904111</v>
      </c>
      <c r="AC111" s="103">
        <v>46053</v>
      </c>
    </row>
    <row r="112" spans="1:29" x14ac:dyDescent="0.25">
      <c r="A112" s="4">
        <v>109</v>
      </c>
      <c r="B112" s="133" t="s">
        <v>629</v>
      </c>
      <c r="C112" s="133" t="s">
        <v>620</v>
      </c>
      <c r="D112" s="115">
        <v>45068</v>
      </c>
      <c r="E112" s="134">
        <v>45097</v>
      </c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101">
        <v>0</v>
      </c>
      <c r="R112" s="101">
        <v>0</v>
      </c>
      <c r="S112" s="101">
        <v>0</v>
      </c>
      <c r="T112" s="101">
        <v>14</v>
      </c>
      <c r="U112" s="101">
        <f>'2025'!M103</f>
        <v>0</v>
      </c>
      <c r="V112" s="101"/>
      <c r="W112" s="101">
        <f>SUM(P112:T112)</f>
        <v>14</v>
      </c>
      <c r="X112" s="101">
        <f>W112/5</f>
        <v>2.8</v>
      </c>
      <c r="Y112" s="101">
        <f>SUM(30-X112)*AA112</f>
        <v>71.241643835616429</v>
      </c>
      <c r="Z112" s="58">
        <f t="shared" si="27"/>
        <v>956</v>
      </c>
      <c r="AA112" s="101">
        <f>Z112/365</f>
        <v>2.6191780821917807</v>
      </c>
      <c r="AB112" s="102">
        <f t="shared" si="28"/>
        <v>2.6986301369863015</v>
      </c>
      <c r="AC112" s="103">
        <v>46053</v>
      </c>
    </row>
    <row r="113" spans="1:29" ht="14.25" customHeight="1" x14ac:dyDescent="0.25">
      <c r="A113" s="4">
        <v>110</v>
      </c>
      <c r="B113" s="133" t="s">
        <v>700</v>
      </c>
      <c r="C113" s="133" t="s">
        <v>696</v>
      </c>
      <c r="D113" s="134">
        <v>45465</v>
      </c>
      <c r="E113" s="134">
        <v>45553</v>
      </c>
      <c r="F113" s="102"/>
      <c r="G113" s="102"/>
      <c r="H113" s="99"/>
      <c r="I113" s="102"/>
      <c r="J113" s="58"/>
      <c r="K113" s="58"/>
      <c r="L113" s="58"/>
      <c r="M113" s="135"/>
      <c r="N113" s="101"/>
      <c r="O113" s="101"/>
      <c r="P113" s="101"/>
      <c r="Q113" s="101"/>
      <c r="R113" s="101"/>
      <c r="S113" s="101"/>
      <c r="T113" s="101"/>
      <c r="U113" s="101">
        <f>'2025'!M104</f>
        <v>53</v>
      </c>
      <c r="V113" s="101"/>
      <c r="W113" s="101"/>
      <c r="X113" s="101"/>
      <c r="Y113" s="101"/>
      <c r="Z113" s="58"/>
      <c r="AA113" s="101"/>
      <c r="AB113" s="102"/>
      <c r="AC113" s="103">
        <v>46053</v>
      </c>
    </row>
    <row r="114" spans="1:29" x14ac:dyDescent="0.25">
      <c r="A114" s="4">
        <v>111</v>
      </c>
      <c r="B114" s="91" t="s">
        <v>444</v>
      </c>
      <c r="C114" s="91" t="s">
        <v>574</v>
      </c>
      <c r="D114" s="134">
        <v>39083</v>
      </c>
      <c r="E114" s="134">
        <v>44197</v>
      </c>
      <c r="F114" s="99">
        <v>61</v>
      </c>
      <c r="G114" s="102">
        <v>0</v>
      </c>
      <c r="H114" s="102">
        <v>0</v>
      </c>
      <c r="I114" s="99">
        <f>'2013'!I41</f>
        <v>89</v>
      </c>
      <c r="J114" s="58"/>
      <c r="K114" s="58"/>
      <c r="L114" s="58"/>
      <c r="M114" s="135"/>
      <c r="N114" s="101">
        <f>'2018'!M77</f>
        <v>10</v>
      </c>
      <c r="O114" s="100">
        <f>'2019'!M80</f>
        <v>47</v>
      </c>
      <c r="P114" s="101">
        <v>0</v>
      </c>
      <c r="Q114" s="100">
        <v>18</v>
      </c>
      <c r="R114" s="101">
        <v>0</v>
      </c>
      <c r="S114" s="101">
        <v>0</v>
      </c>
      <c r="T114" s="100">
        <v>50</v>
      </c>
      <c r="U114" s="101">
        <f>'2025'!M105</f>
        <v>0</v>
      </c>
      <c r="V114" s="101"/>
      <c r="W114" s="101">
        <f t="shared" ref="W114:W125" si="32">SUM(P114:T114)</f>
        <v>68</v>
      </c>
      <c r="X114" s="101">
        <f t="shared" si="29"/>
        <v>13.6</v>
      </c>
      <c r="Y114" s="101">
        <f t="shared" si="30"/>
        <v>83.392876712328771</v>
      </c>
      <c r="Z114" s="58">
        <f t="shared" ref="Z114:Z141" si="33">AC114-E114</f>
        <v>1856</v>
      </c>
      <c r="AA114" s="101">
        <f t="shared" si="31"/>
        <v>5.0849315068493155</v>
      </c>
      <c r="AB114" s="102">
        <f t="shared" ref="AB114:AB141" si="34">SUM(AC114-D114)/365</f>
        <v>19.095890410958905</v>
      </c>
      <c r="AC114" s="103">
        <v>46053</v>
      </c>
    </row>
    <row r="115" spans="1:29" x14ac:dyDescent="0.25">
      <c r="A115" s="4">
        <v>112</v>
      </c>
      <c r="B115" s="133" t="s">
        <v>445</v>
      </c>
      <c r="C115" s="133" t="s">
        <v>575</v>
      </c>
      <c r="D115" s="134">
        <v>40544</v>
      </c>
      <c r="E115" s="134">
        <v>44197</v>
      </c>
      <c r="F115" s="108"/>
      <c r="G115" s="108"/>
      <c r="H115" s="102">
        <v>0</v>
      </c>
      <c r="I115" s="99">
        <f>'2013'!I43</f>
        <v>84</v>
      </c>
      <c r="J115" s="58"/>
      <c r="K115" s="58"/>
      <c r="L115" s="58"/>
      <c r="M115" s="135"/>
      <c r="N115" s="100">
        <f>'2018'!M79</f>
        <v>31</v>
      </c>
      <c r="O115" s="101">
        <f>'2019'!M82</f>
        <v>34</v>
      </c>
      <c r="P115" s="101">
        <v>0</v>
      </c>
      <c r="Q115" s="100">
        <v>51</v>
      </c>
      <c r="R115" s="101">
        <v>41</v>
      </c>
      <c r="S115" s="101">
        <v>0</v>
      </c>
      <c r="T115" s="101">
        <v>0</v>
      </c>
      <c r="U115" s="100">
        <f>'2025'!M106</f>
        <v>62</v>
      </c>
      <c r="V115" s="101"/>
      <c r="W115" s="101">
        <f t="shared" si="32"/>
        <v>92</v>
      </c>
      <c r="X115" s="101">
        <f t="shared" si="29"/>
        <v>18.399999999999999</v>
      </c>
      <c r="Y115" s="101">
        <f t="shared" si="30"/>
        <v>58.98520547945207</v>
      </c>
      <c r="Z115" s="58">
        <f t="shared" si="33"/>
        <v>1856</v>
      </c>
      <c r="AA115" s="101">
        <f t="shared" si="31"/>
        <v>5.0849315068493155</v>
      </c>
      <c r="AB115" s="102">
        <f t="shared" si="34"/>
        <v>15.093150684931507</v>
      </c>
      <c r="AC115" s="103">
        <v>46053</v>
      </c>
    </row>
    <row r="116" spans="1:29" x14ac:dyDescent="0.25">
      <c r="A116" s="4">
        <v>113</v>
      </c>
      <c r="B116" s="133" t="s">
        <v>446</v>
      </c>
      <c r="C116" s="133" t="s">
        <v>576</v>
      </c>
      <c r="D116" s="134">
        <v>41456</v>
      </c>
      <c r="E116" s="134">
        <v>44197</v>
      </c>
      <c r="F116" s="108"/>
      <c r="G116" s="108"/>
      <c r="H116" s="108"/>
      <c r="I116" s="108"/>
      <c r="J116" s="58"/>
      <c r="K116" s="58"/>
      <c r="L116" s="58"/>
      <c r="M116" s="135"/>
      <c r="N116" s="100">
        <f>'2018'!M81</f>
        <v>0</v>
      </c>
      <c r="O116" s="101">
        <f>'2019'!M84</f>
        <v>61</v>
      </c>
      <c r="P116" s="101">
        <v>0</v>
      </c>
      <c r="Q116" s="101">
        <v>0</v>
      </c>
      <c r="R116" s="100">
        <v>61</v>
      </c>
      <c r="S116" s="101">
        <v>0</v>
      </c>
      <c r="T116" s="101">
        <v>0</v>
      </c>
      <c r="U116" s="100">
        <f>'2025'!M107</f>
        <v>60</v>
      </c>
      <c r="V116" s="101"/>
      <c r="W116" s="101">
        <f t="shared" si="32"/>
        <v>61</v>
      </c>
      <c r="X116" s="101">
        <f t="shared" si="29"/>
        <v>12.2</v>
      </c>
      <c r="Y116" s="101">
        <f t="shared" si="30"/>
        <v>90.511780821917824</v>
      </c>
      <c r="Z116" s="58">
        <f t="shared" si="33"/>
        <v>1856</v>
      </c>
      <c r="AA116" s="101">
        <f t="shared" si="31"/>
        <v>5.0849315068493155</v>
      </c>
      <c r="AB116" s="102">
        <f t="shared" si="34"/>
        <v>12.594520547945205</v>
      </c>
      <c r="AC116" s="103">
        <v>46053</v>
      </c>
    </row>
    <row r="117" spans="1:29" x14ac:dyDescent="0.25">
      <c r="A117" s="4">
        <v>114</v>
      </c>
      <c r="B117" s="133" t="s">
        <v>447</v>
      </c>
      <c r="C117" s="133" t="s">
        <v>577</v>
      </c>
      <c r="D117" s="134">
        <v>42979</v>
      </c>
      <c r="E117" s="134">
        <v>44197</v>
      </c>
      <c r="F117" s="108"/>
      <c r="G117" s="108"/>
      <c r="H117" s="108"/>
      <c r="I117" s="108"/>
      <c r="J117" s="58"/>
      <c r="K117" s="58"/>
      <c r="L117" s="58"/>
      <c r="M117" s="135"/>
      <c r="N117" s="101">
        <f>'2018'!M82</f>
        <v>0</v>
      </c>
      <c r="O117" s="100">
        <f>'2019'!M85</f>
        <v>4</v>
      </c>
      <c r="P117" s="101">
        <v>57</v>
      </c>
      <c r="Q117" s="101">
        <v>0</v>
      </c>
      <c r="R117" s="100">
        <v>61</v>
      </c>
      <c r="S117" s="101">
        <v>10</v>
      </c>
      <c r="T117" s="100">
        <v>49</v>
      </c>
      <c r="U117" s="101">
        <f>'2025'!M108</f>
        <v>0</v>
      </c>
      <c r="V117" s="101"/>
      <c r="W117" s="101">
        <f t="shared" si="32"/>
        <v>177</v>
      </c>
      <c r="X117" s="101">
        <f t="shared" si="29"/>
        <v>35.4</v>
      </c>
      <c r="Y117" s="101">
        <f t="shared" si="30"/>
        <v>-27.458630136986297</v>
      </c>
      <c r="Z117" s="58">
        <f t="shared" si="33"/>
        <v>1856</v>
      </c>
      <c r="AA117" s="101">
        <f t="shared" si="31"/>
        <v>5.0849315068493155</v>
      </c>
      <c r="AB117" s="102">
        <f t="shared" si="34"/>
        <v>8.4219178082191775</v>
      </c>
      <c r="AC117" s="103">
        <v>46053</v>
      </c>
    </row>
    <row r="118" spans="1:29" x14ac:dyDescent="0.25">
      <c r="A118" s="4">
        <v>115</v>
      </c>
      <c r="B118" s="133" t="s">
        <v>448</v>
      </c>
      <c r="C118" s="133" t="s">
        <v>578</v>
      </c>
      <c r="D118" s="134">
        <v>44172</v>
      </c>
      <c r="E118" s="134">
        <v>44172</v>
      </c>
      <c r="F118" s="108"/>
      <c r="G118" s="108"/>
      <c r="H118" s="108"/>
      <c r="I118" s="108"/>
      <c r="J118" s="58"/>
      <c r="K118" s="58"/>
      <c r="L118" s="58"/>
      <c r="M118" s="135"/>
      <c r="N118" s="101"/>
      <c r="O118" s="101"/>
      <c r="P118" s="101">
        <v>0</v>
      </c>
      <c r="Q118" s="101">
        <v>0</v>
      </c>
      <c r="R118" s="100">
        <v>61</v>
      </c>
      <c r="S118" s="101">
        <v>0</v>
      </c>
      <c r="T118" s="100">
        <v>57</v>
      </c>
      <c r="U118" s="101">
        <f>'2025'!M109</f>
        <v>0</v>
      </c>
      <c r="V118" s="101"/>
      <c r="W118" s="101">
        <f t="shared" si="32"/>
        <v>118</v>
      </c>
      <c r="X118" s="101">
        <f t="shared" si="29"/>
        <v>23.6</v>
      </c>
      <c r="Y118" s="101">
        <f t="shared" si="30"/>
        <v>32.981917808219173</v>
      </c>
      <c r="Z118" s="58">
        <f t="shared" si="33"/>
        <v>1881</v>
      </c>
      <c r="AA118" s="101">
        <f t="shared" si="31"/>
        <v>5.1534246575342468</v>
      </c>
      <c r="AB118" s="102">
        <f t="shared" si="34"/>
        <v>5.1534246575342468</v>
      </c>
      <c r="AC118" s="103">
        <v>46053</v>
      </c>
    </row>
    <row r="119" spans="1:29" x14ac:dyDescent="0.25">
      <c r="A119" s="4">
        <v>116</v>
      </c>
      <c r="B119" s="133" t="s">
        <v>384</v>
      </c>
      <c r="C119" s="133" t="s">
        <v>43</v>
      </c>
      <c r="D119" s="134">
        <v>40210</v>
      </c>
      <c r="E119" s="134">
        <v>44197</v>
      </c>
      <c r="F119" s="102">
        <v>63</v>
      </c>
      <c r="G119" s="102">
        <v>0</v>
      </c>
      <c r="H119" s="99">
        <v>89</v>
      </c>
      <c r="I119" s="102">
        <f>'2013'!I49</f>
        <v>0</v>
      </c>
      <c r="J119" s="58"/>
      <c r="K119" s="58"/>
      <c r="L119" s="58"/>
      <c r="M119" s="135"/>
      <c r="N119" s="101">
        <f>'2018'!M89</f>
        <v>0</v>
      </c>
      <c r="O119" s="101">
        <f>'2019'!M92</f>
        <v>0</v>
      </c>
      <c r="P119" s="101">
        <v>0</v>
      </c>
      <c r="Q119" s="100">
        <v>127</v>
      </c>
      <c r="R119" s="101">
        <v>0</v>
      </c>
      <c r="S119" s="101">
        <v>61</v>
      </c>
      <c r="T119" s="101">
        <v>0</v>
      </c>
      <c r="U119" s="101">
        <f>'2025'!M145</f>
        <v>0</v>
      </c>
      <c r="V119" s="101"/>
      <c r="W119" s="101">
        <f t="shared" si="32"/>
        <v>188</v>
      </c>
      <c r="X119" s="101">
        <f t="shared" si="29"/>
        <v>37.6</v>
      </c>
      <c r="Y119" s="101">
        <f t="shared" si="30"/>
        <v>-38.645479452054808</v>
      </c>
      <c r="Z119" s="58">
        <f t="shared" si="33"/>
        <v>1856</v>
      </c>
      <c r="AA119" s="101">
        <f t="shared" si="31"/>
        <v>5.0849315068493155</v>
      </c>
      <c r="AB119" s="102">
        <f t="shared" si="34"/>
        <v>16.008219178082193</v>
      </c>
      <c r="AC119" s="103">
        <v>46053</v>
      </c>
    </row>
    <row r="120" spans="1:29" x14ac:dyDescent="0.25">
      <c r="A120" s="4">
        <v>117</v>
      </c>
      <c r="B120" s="133" t="s">
        <v>452</v>
      </c>
      <c r="C120" s="133" t="s">
        <v>581</v>
      </c>
      <c r="D120" s="134">
        <v>44713</v>
      </c>
      <c r="E120" s="134">
        <v>44713</v>
      </c>
      <c r="F120" s="58"/>
      <c r="G120" s="58"/>
      <c r="H120" s="58"/>
      <c r="I120" s="58"/>
      <c r="J120" s="58"/>
      <c r="K120" s="58"/>
      <c r="L120" s="58"/>
      <c r="M120" s="135"/>
      <c r="N120" s="58"/>
      <c r="O120" s="58"/>
      <c r="P120" s="58"/>
      <c r="Q120" s="58"/>
      <c r="R120" s="101">
        <v>0</v>
      </c>
      <c r="S120" s="101">
        <v>0</v>
      </c>
      <c r="T120" s="101">
        <v>13</v>
      </c>
      <c r="U120" s="100">
        <f>'2025'!M110</f>
        <v>55</v>
      </c>
      <c r="V120" s="101"/>
      <c r="W120" s="101">
        <f t="shared" si="32"/>
        <v>13</v>
      </c>
      <c r="X120" s="101">
        <f t="shared" si="29"/>
        <v>2.6</v>
      </c>
      <c r="Y120" s="101">
        <f t="shared" si="30"/>
        <v>100.59178082191781</v>
      </c>
      <c r="Z120" s="58">
        <f t="shared" si="33"/>
        <v>1340</v>
      </c>
      <c r="AA120" s="101">
        <f t="shared" si="31"/>
        <v>3.6712328767123288</v>
      </c>
      <c r="AB120" s="102">
        <f t="shared" si="34"/>
        <v>3.6712328767123288</v>
      </c>
      <c r="AC120" s="103">
        <v>46053</v>
      </c>
    </row>
    <row r="121" spans="1:29" x14ac:dyDescent="0.25">
      <c r="A121" s="4">
        <v>118</v>
      </c>
      <c r="B121" s="133" t="s">
        <v>478</v>
      </c>
      <c r="C121" s="133" t="s">
        <v>184</v>
      </c>
      <c r="D121" s="134">
        <v>44817</v>
      </c>
      <c r="E121" s="134">
        <v>44826</v>
      </c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101">
        <v>0</v>
      </c>
      <c r="R121" s="101">
        <v>0</v>
      </c>
      <c r="S121" s="101">
        <v>0</v>
      </c>
      <c r="T121" s="101">
        <v>0</v>
      </c>
      <c r="U121" s="100">
        <f>'2025'!M111</f>
        <v>60</v>
      </c>
      <c r="V121" s="101"/>
      <c r="W121" s="101">
        <f t="shared" si="32"/>
        <v>0</v>
      </c>
      <c r="X121" s="101">
        <f>W121/5</f>
        <v>0</v>
      </c>
      <c r="Y121" s="101">
        <f>SUM(30-X121)*AA121</f>
        <v>100.84931506849314</v>
      </c>
      <c r="Z121" s="58">
        <f t="shared" si="33"/>
        <v>1227</v>
      </c>
      <c r="AA121" s="101">
        <f>Z121/365</f>
        <v>3.3616438356164382</v>
      </c>
      <c r="AB121" s="102">
        <f t="shared" si="34"/>
        <v>3.3863013698630136</v>
      </c>
      <c r="AC121" s="103">
        <v>46053</v>
      </c>
    </row>
    <row r="122" spans="1:29" x14ac:dyDescent="0.25">
      <c r="A122" s="4">
        <v>119</v>
      </c>
      <c r="B122" s="133" t="s">
        <v>609</v>
      </c>
      <c r="C122" s="133" t="s">
        <v>604</v>
      </c>
      <c r="D122" s="134">
        <v>44900</v>
      </c>
      <c r="E122" s="134">
        <v>44965</v>
      </c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101">
        <v>0</v>
      </c>
      <c r="R122" s="101">
        <v>0</v>
      </c>
      <c r="S122" s="101">
        <v>0</v>
      </c>
      <c r="T122" s="101">
        <v>0</v>
      </c>
      <c r="U122" s="100">
        <f>'2025'!M112</f>
        <v>60</v>
      </c>
      <c r="V122" s="101"/>
      <c r="W122" s="101">
        <f t="shared" si="32"/>
        <v>0</v>
      </c>
      <c r="X122" s="101">
        <f>W122/5</f>
        <v>0</v>
      </c>
      <c r="Y122" s="101">
        <f>SUM(30-X122)*AA122</f>
        <v>89.424657534246577</v>
      </c>
      <c r="Z122" s="58">
        <f t="shared" si="33"/>
        <v>1088</v>
      </c>
      <c r="AA122" s="101">
        <f>Z122/365</f>
        <v>2.9808219178082194</v>
      </c>
      <c r="AB122" s="102">
        <f t="shared" si="34"/>
        <v>3.1589041095890411</v>
      </c>
      <c r="AC122" s="103">
        <v>46053</v>
      </c>
    </row>
    <row r="123" spans="1:29" x14ac:dyDescent="0.25">
      <c r="A123" s="4">
        <v>120</v>
      </c>
      <c r="B123" s="133" t="s">
        <v>630</v>
      </c>
      <c r="C123" s="133" t="s">
        <v>621</v>
      </c>
      <c r="D123" s="115">
        <v>45054</v>
      </c>
      <c r="E123" s="115">
        <v>45054</v>
      </c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101">
        <v>0</v>
      </c>
      <c r="R123" s="101">
        <v>0</v>
      </c>
      <c r="S123" s="101">
        <v>0</v>
      </c>
      <c r="T123" s="101">
        <v>0</v>
      </c>
      <c r="U123" s="100">
        <f>'2025'!M113</f>
        <v>82</v>
      </c>
      <c r="V123" s="101"/>
      <c r="W123" s="101">
        <f t="shared" si="32"/>
        <v>0</v>
      </c>
      <c r="X123" s="101">
        <f>W123/5</f>
        <v>0</v>
      </c>
      <c r="Y123" s="101">
        <f>SUM(30-X123)*AA123</f>
        <v>82.109589041095902</v>
      </c>
      <c r="Z123" s="58">
        <f t="shared" si="33"/>
        <v>999</v>
      </c>
      <c r="AA123" s="101">
        <f>Z123/365</f>
        <v>2.7369863013698632</v>
      </c>
      <c r="AB123" s="102">
        <f t="shared" si="34"/>
        <v>2.7369863013698632</v>
      </c>
      <c r="AC123" s="103">
        <v>46053</v>
      </c>
    </row>
    <row r="124" spans="1:29" x14ac:dyDescent="0.25">
      <c r="A124" s="4">
        <v>121</v>
      </c>
      <c r="B124" s="133" t="s">
        <v>647</v>
      </c>
      <c r="C124" s="133" t="s">
        <v>645</v>
      </c>
      <c r="D124" s="115">
        <v>45201</v>
      </c>
      <c r="E124" s="115">
        <v>45296</v>
      </c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101">
        <v>0</v>
      </c>
      <c r="R124" s="101">
        <v>0</v>
      </c>
      <c r="S124" s="101">
        <v>0</v>
      </c>
      <c r="T124" s="101">
        <v>0</v>
      </c>
      <c r="U124" s="101">
        <f>'2025'!M114</f>
        <v>0</v>
      </c>
      <c r="V124" s="101"/>
      <c r="W124" s="101">
        <f t="shared" si="32"/>
        <v>0</v>
      </c>
      <c r="X124" s="101">
        <f>W124/5</f>
        <v>0</v>
      </c>
      <c r="Y124" s="101">
        <f>SUM(30-X124)*AA124</f>
        <v>62.219178082191782</v>
      </c>
      <c r="Z124" s="58">
        <f t="shared" si="33"/>
        <v>757</v>
      </c>
      <c r="AA124" s="101">
        <f>Z124/365</f>
        <v>2.0739726027397261</v>
      </c>
      <c r="AB124" s="102">
        <f t="shared" si="34"/>
        <v>2.3342465753424659</v>
      </c>
      <c r="AC124" s="103">
        <v>46053</v>
      </c>
    </row>
    <row r="125" spans="1:29" x14ac:dyDescent="0.25">
      <c r="A125" s="4">
        <v>122</v>
      </c>
      <c r="B125" s="133" t="s">
        <v>665</v>
      </c>
      <c r="C125" s="133" t="s">
        <v>652</v>
      </c>
      <c r="D125" s="115">
        <v>45280</v>
      </c>
      <c r="E125" s="115">
        <v>45280</v>
      </c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101">
        <v>0</v>
      </c>
      <c r="R125" s="101">
        <v>0</v>
      </c>
      <c r="S125" s="101">
        <v>0</v>
      </c>
      <c r="T125" s="101">
        <v>0</v>
      </c>
      <c r="U125" s="101">
        <f>'2025'!M115</f>
        <v>7</v>
      </c>
      <c r="V125" s="101"/>
      <c r="W125" s="101">
        <f t="shared" si="32"/>
        <v>0</v>
      </c>
      <c r="X125" s="101">
        <f>W125/5</f>
        <v>0</v>
      </c>
      <c r="Y125" s="101">
        <f>SUM(30-X125)*AA125</f>
        <v>63.534246575342465</v>
      </c>
      <c r="Z125" s="58">
        <f t="shared" si="33"/>
        <v>773</v>
      </c>
      <c r="AA125" s="101">
        <f>Z125/365</f>
        <v>2.117808219178082</v>
      </c>
      <c r="AB125" s="102">
        <f t="shared" si="34"/>
        <v>2.117808219178082</v>
      </c>
      <c r="AC125" s="103">
        <v>46053</v>
      </c>
    </row>
    <row r="126" spans="1:29" x14ac:dyDescent="0.25">
      <c r="A126" s="4">
        <v>123</v>
      </c>
      <c r="B126" s="91" t="s">
        <v>453</v>
      </c>
      <c r="C126" s="91" t="s">
        <v>582</v>
      </c>
      <c r="D126" s="134">
        <v>39083</v>
      </c>
      <c r="E126" s="134">
        <v>44197</v>
      </c>
      <c r="F126" s="97">
        <v>71</v>
      </c>
      <c r="G126" s="96">
        <v>17</v>
      </c>
      <c r="H126" s="98">
        <v>68</v>
      </c>
      <c r="I126" s="98">
        <f>'2013'!I47</f>
        <v>19</v>
      </c>
      <c r="J126" s="58"/>
      <c r="K126" s="58"/>
      <c r="L126" s="58"/>
      <c r="M126" s="135"/>
      <c r="N126" s="101">
        <f>'2018'!M83</f>
        <v>32</v>
      </c>
      <c r="O126" s="100">
        <f>'2019'!M86</f>
        <v>31</v>
      </c>
      <c r="P126" s="101">
        <v>0</v>
      </c>
      <c r="Q126" s="100">
        <v>44</v>
      </c>
      <c r="R126" s="101">
        <v>0</v>
      </c>
      <c r="S126" s="100">
        <v>22</v>
      </c>
      <c r="T126" s="100">
        <v>32</v>
      </c>
      <c r="U126" s="101">
        <f>'2025'!M116</f>
        <v>14</v>
      </c>
      <c r="V126" s="101"/>
      <c r="W126" s="101">
        <f>SUM(P126:U126)</f>
        <v>112</v>
      </c>
      <c r="X126" s="101">
        <f t="shared" si="29"/>
        <v>22.4</v>
      </c>
      <c r="Y126" s="101">
        <f t="shared" si="30"/>
        <v>38.645479452054808</v>
      </c>
      <c r="Z126" s="58">
        <f t="shared" si="33"/>
        <v>1856</v>
      </c>
      <c r="AA126" s="101">
        <f t="shared" si="31"/>
        <v>5.0849315068493155</v>
      </c>
      <c r="AB126" s="102">
        <f t="shared" si="34"/>
        <v>19.095890410958905</v>
      </c>
      <c r="AC126" s="103">
        <v>46053</v>
      </c>
    </row>
    <row r="127" spans="1:29" x14ac:dyDescent="0.25">
      <c r="A127" s="4">
        <v>124</v>
      </c>
      <c r="B127" s="133" t="s">
        <v>474</v>
      </c>
      <c r="C127" s="133" t="s">
        <v>349</v>
      </c>
      <c r="D127" s="134">
        <v>44734</v>
      </c>
      <c r="E127" s="134">
        <v>44826</v>
      </c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101">
        <v>0</v>
      </c>
      <c r="R127" s="101">
        <v>0</v>
      </c>
      <c r="S127" s="101">
        <v>0</v>
      </c>
      <c r="T127" s="100">
        <v>57</v>
      </c>
      <c r="U127" s="101">
        <f>'2025'!M117</f>
        <v>0</v>
      </c>
      <c r="V127" s="101"/>
      <c r="W127" s="101">
        <f t="shared" ref="W127:W141" si="35">SUM(P127:T127)</f>
        <v>57</v>
      </c>
      <c r="X127" s="101">
        <f>W127/5</f>
        <v>11.4</v>
      </c>
      <c r="Y127" s="101">
        <f>SUM(30-X127)*AA127</f>
        <v>62.526575342465755</v>
      </c>
      <c r="Z127" s="58">
        <f t="shared" si="33"/>
        <v>1227</v>
      </c>
      <c r="AA127" s="101">
        <f>Z127/365</f>
        <v>3.3616438356164382</v>
      </c>
      <c r="AB127" s="102">
        <f t="shared" si="34"/>
        <v>3.6136986301369864</v>
      </c>
      <c r="AC127" s="103">
        <v>46053</v>
      </c>
    </row>
    <row r="128" spans="1:29" x14ac:dyDescent="0.25">
      <c r="A128" s="4">
        <v>125</v>
      </c>
      <c r="B128" s="133" t="s">
        <v>455</v>
      </c>
      <c r="C128" s="133" t="s">
        <v>584</v>
      </c>
      <c r="D128" s="134">
        <v>42856</v>
      </c>
      <c r="E128" s="134">
        <v>44197</v>
      </c>
      <c r="F128" s="96"/>
      <c r="G128" s="96"/>
      <c r="H128" s="58"/>
      <c r="I128" s="58"/>
      <c r="J128" s="58"/>
      <c r="K128" s="58"/>
      <c r="L128" s="58"/>
      <c r="M128" s="135"/>
      <c r="N128" s="101">
        <f>'2018'!M85</f>
        <v>0</v>
      </c>
      <c r="O128" s="100">
        <f>'2019'!M88</f>
        <v>64</v>
      </c>
      <c r="P128" s="101">
        <v>0</v>
      </c>
      <c r="Q128" s="101">
        <v>0</v>
      </c>
      <c r="R128" s="100">
        <v>61</v>
      </c>
      <c r="S128" s="101">
        <v>0</v>
      </c>
      <c r="T128" s="101">
        <v>0</v>
      </c>
      <c r="U128" s="100">
        <f>'2025'!M118</f>
        <v>65</v>
      </c>
      <c r="V128" s="101"/>
      <c r="W128" s="101">
        <f t="shared" si="35"/>
        <v>61</v>
      </c>
      <c r="X128" s="101">
        <f t="shared" si="29"/>
        <v>12.2</v>
      </c>
      <c r="Y128" s="101">
        <f t="shared" si="30"/>
        <v>90.511780821917824</v>
      </c>
      <c r="Z128" s="58">
        <f t="shared" si="33"/>
        <v>1856</v>
      </c>
      <c r="AA128" s="101">
        <f t="shared" si="31"/>
        <v>5.0849315068493155</v>
      </c>
      <c r="AB128" s="102">
        <f t="shared" si="34"/>
        <v>8.7589041095890412</v>
      </c>
      <c r="AC128" s="103">
        <v>46053</v>
      </c>
    </row>
    <row r="129" spans="1:29" x14ac:dyDescent="0.25">
      <c r="A129" s="4">
        <v>126</v>
      </c>
      <c r="B129" s="133" t="s">
        <v>456</v>
      </c>
      <c r="C129" s="133" t="s">
        <v>585</v>
      </c>
      <c r="D129" s="134">
        <v>41609</v>
      </c>
      <c r="E129" s="134">
        <v>44197</v>
      </c>
      <c r="F129" s="102">
        <v>0</v>
      </c>
      <c r="G129" s="102">
        <v>0</v>
      </c>
      <c r="H129" s="102">
        <v>0</v>
      </c>
      <c r="I129" s="102">
        <v>0</v>
      </c>
      <c r="J129" s="58"/>
      <c r="K129" s="58"/>
      <c r="L129" s="58"/>
      <c r="M129" s="135"/>
      <c r="N129" s="101">
        <f>'2018'!M88</f>
        <v>0</v>
      </c>
      <c r="O129" s="101">
        <f>'2019'!M91</f>
        <v>0</v>
      </c>
      <c r="P129" s="101">
        <v>0</v>
      </c>
      <c r="Q129" s="101">
        <v>0</v>
      </c>
      <c r="R129" s="101">
        <v>0</v>
      </c>
      <c r="S129" s="101">
        <v>0</v>
      </c>
      <c r="T129" s="100">
        <v>64</v>
      </c>
      <c r="U129" s="101">
        <f>'2025'!M119</f>
        <v>0</v>
      </c>
      <c r="V129" s="101"/>
      <c r="W129" s="101">
        <f t="shared" si="35"/>
        <v>64</v>
      </c>
      <c r="X129" s="101">
        <f t="shared" si="29"/>
        <v>12.8</v>
      </c>
      <c r="Y129" s="101">
        <f t="shared" si="30"/>
        <v>87.460821917808218</v>
      </c>
      <c r="Z129" s="58">
        <f t="shared" si="33"/>
        <v>1856</v>
      </c>
      <c r="AA129" s="101">
        <f t="shared" si="31"/>
        <v>5.0849315068493155</v>
      </c>
      <c r="AB129" s="102">
        <f t="shared" si="34"/>
        <v>12.175342465753424</v>
      </c>
      <c r="AC129" s="103">
        <v>46053</v>
      </c>
    </row>
    <row r="130" spans="1:29" x14ac:dyDescent="0.25">
      <c r="A130" s="4">
        <v>127</v>
      </c>
      <c r="B130" s="133" t="s">
        <v>457</v>
      </c>
      <c r="C130" s="133" t="s">
        <v>586</v>
      </c>
      <c r="D130" s="134">
        <v>39083</v>
      </c>
      <c r="E130" s="134">
        <v>44197</v>
      </c>
      <c r="F130" s="102">
        <v>0</v>
      </c>
      <c r="G130" s="99">
        <v>121</v>
      </c>
      <c r="H130" s="102">
        <v>0</v>
      </c>
      <c r="I130" s="102">
        <f>'2013'!I50</f>
        <v>0</v>
      </c>
      <c r="J130" s="58"/>
      <c r="K130" s="58"/>
      <c r="L130" s="58"/>
      <c r="M130" s="135"/>
      <c r="N130" s="101">
        <f>'2018'!M90</f>
        <v>0</v>
      </c>
      <c r="O130" s="101">
        <f>'2019'!M93</f>
        <v>0</v>
      </c>
      <c r="P130" s="100">
        <v>63</v>
      </c>
      <c r="Q130" s="101">
        <v>12</v>
      </c>
      <c r="R130" s="100">
        <v>68</v>
      </c>
      <c r="S130" s="101">
        <v>0</v>
      </c>
      <c r="T130" s="101">
        <v>0</v>
      </c>
      <c r="U130" s="101">
        <f>'2025'!M120</f>
        <v>0</v>
      </c>
      <c r="V130" s="101"/>
      <c r="W130" s="101">
        <f t="shared" si="35"/>
        <v>143</v>
      </c>
      <c r="X130" s="101">
        <f t="shared" si="29"/>
        <v>28.6</v>
      </c>
      <c r="Y130" s="101">
        <f t="shared" si="30"/>
        <v>7.1189041095890344</v>
      </c>
      <c r="Z130" s="58">
        <f t="shared" si="33"/>
        <v>1856</v>
      </c>
      <c r="AA130" s="101">
        <f t="shared" si="31"/>
        <v>5.0849315068493155</v>
      </c>
      <c r="AB130" s="102">
        <f t="shared" si="34"/>
        <v>19.095890410958905</v>
      </c>
      <c r="AC130" s="103">
        <v>46053</v>
      </c>
    </row>
    <row r="131" spans="1:29" ht="15.75" customHeight="1" x14ac:dyDescent="0.25">
      <c r="A131" s="4">
        <v>128</v>
      </c>
      <c r="B131" s="133" t="s">
        <v>458</v>
      </c>
      <c r="C131" s="133" t="s">
        <v>587</v>
      </c>
      <c r="D131" s="134">
        <v>39083</v>
      </c>
      <c r="E131" s="134">
        <v>44197</v>
      </c>
      <c r="F131" s="102">
        <v>82</v>
      </c>
      <c r="G131" s="102">
        <v>0</v>
      </c>
      <c r="H131" s="102">
        <v>0</v>
      </c>
      <c r="I131" s="99">
        <f>'2013'!I52</f>
        <v>76</v>
      </c>
      <c r="J131" s="58"/>
      <c r="K131" s="58"/>
      <c r="L131" s="58"/>
      <c r="M131" s="135"/>
      <c r="N131" s="101">
        <f>'2018'!M91</f>
        <v>0</v>
      </c>
      <c r="O131" s="101">
        <f>'2019'!M94</f>
        <v>0</v>
      </c>
      <c r="P131" s="100">
        <v>175</v>
      </c>
      <c r="Q131" s="101">
        <v>0</v>
      </c>
      <c r="R131" s="101">
        <v>0</v>
      </c>
      <c r="S131" s="100">
        <v>87</v>
      </c>
      <c r="T131" s="100">
        <v>82</v>
      </c>
      <c r="U131" s="101">
        <f>'2025'!M121</f>
        <v>18</v>
      </c>
      <c r="V131" s="101"/>
      <c r="W131" s="101">
        <f t="shared" si="35"/>
        <v>344</v>
      </c>
      <c r="X131" s="101">
        <f t="shared" si="29"/>
        <v>68.8</v>
      </c>
      <c r="Y131" s="101">
        <f t="shared" si="30"/>
        <v>-197.29534246575344</v>
      </c>
      <c r="Z131" s="58">
        <f t="shared" si="33"/>
        <v>1856</v>
      </c>
      <c r="AA131" s="101">
        <f t="shared" si="31"/>
        <v>5.0849315068493155</v>
      </c>
      <c r="AB131" s="102">
        <f t="shared" si="34"/>
        <v>19.095890410958905</v>
      </c>
      <c r="AC131" s="103">
        <v>46053</v>
      </c>
    </row>
    <row r="132" spans="1:29" x14ac:dyDescent="0.25">
      <c r="A132" s="4">
        <v>129</v>
      </c>
      <c r="B132" s="133" t="s">
        <v>459</v>
      </c>
      <c r="C132" s="133" t="s">
        <v>588</v>
      </c>
      <c r="D132" s="134">
        <v>39326</v>
      </c>
      <c r="E132" s="134">
        <v>44197</v>
      </c>
      <c r="F132" s="99">
        <v>32</v>
      </c>
      <c r="G132" s="102">
        <v>0</v>
      </c>
      <c r="H132" s="99">
        <v>75</v>
      </c>
      <c r="I132" s="102">
        <f>'2013'!I55</f>
        <v>19</v>
      </c>
      <c r="J132" s="58"/>
      <c r="K132" s="58"/>
      <c r="L132" s="58"/>
      <c r="M132" s="135"/>
      <c r="N132" s="100">
        <f>'2018'!M92</f>
        <v>0</v>
      </c>
      <c r="O132" s="100">
        <f>'2019'!M95</f>
        <v>92</v>
      </c>
      <c r="P132" s="101">
        <v>0</v>
      </c>
      <c r="Q132" s="101">
        <v>0</v>
      </c>
      <c r="R132" s="100">
        <v>99</v>
      </c>
      <c r="S132" s="101">
        <v>0</v>
      </c>
      <c r="T132" s="101">
        <v>0</v>
      </c>
      <c r="U132" s="100">
        <f>'2025'!M122</f>
        <v>75</v>
      </c>
      <c r="V132" s="101"/>
      <c r="W132" s="101">
        <f t="shared" si="35"/>
        <v>99</v>
      </c>
      <c r="X132" s="101">
        <f t="shared" si="29"/>
        <v>19.8</v>
      </c>
      <c r="Y132" s="101">
        <f t="shared" si="30"/>
        <v>51.866301369863017</v>
      </c>
      <c r="Z132" s="58">
        <f t="shared" si="33"/>
        <v>1856</v>
      </c>
      <c r="AA132" s="101">
        <f t="shared" si="31"/>
        <v>5.0849315068493155</v>
      </c>
      <c r="AB132" s="102">
        <f t="shared" si="34"/>
        <v>18.43013698630137</v>
      </c>
      <c r="AC132" s="103">
        <v>46053</v>
      </c>
    </row>
    <row r="133" spans="1:29" x14ac:dyDescent="0.25">
      <c r="A133" s="4">
        <v>130</v>
      </c>
      <c r="B133" s="133" t="s">
        <v>460</v>
      </c>
      <c r="C133" s="133" t="s">
        <v>589</v>
      </c>
      <c r="D133" s="134">
        <v>39783</v>
      </c>
      <c r="E133" s="134">
        <v>44197</v>
      </c>
      <c r="F133" s="102">
        <v>0</v>
      </c>
      <c r="G133" s="102">
        <v>60</v>
      </c>
      <c r="H133" s="102">
        <v>0</v>
      </c>
      <c r="I133" s="102">
        <f>'2013'!I57</f>
        <v>0</v>
      </c>
      <c r="J133" s="58"/>
      <c r="K133" s="58"/>
      <c r="L133" s="58"/>
      <c r="M133" s="135"/>
      <c r="N133" s="101">
        <f>'2018'!M93</f>
        <v>0</v>
      </c>
      <c r="O133" s="101">
        <f>'2019'!M96</f>
        <v>0</v>
      </c>
      <c r="P133" s="100">
        <v>40</v>
      </c>
      <c r="Q133" s="101">
        <v>22</v>
      </c>
      <c r="R133" s="100">
        <v>36</v>
      </c>
      <c r="S133" s="101">
        <v>20</v>
      </c>
      <c r="T133" s="100">
        <v>29</v>
      </c>
      <c r="U133" s="101">
        <f>'2025'!M123</f>
        <v>35</v>
      </c>
      <c r="V133" s="101">
        <f>'2026'!M123</f>
        <v>7</v>
      </c>
      <c r="W133" s="101">
        <f t="shared" si="35"/>
        <v>147</v>
      </c>
      <c r="X133" s="101">
        <f t="shared" si="29"/>
        <v>29.4</v>
      </c>
      <c r="Y133" s="101">
        <f t="shared" si="30"/>
        <v>3.0509589041095966</v>
      </c>
      <c r="Z133" s="58">
        <f t="shared" si="33"/>
        <v>1856</v>
      </c>
      <c r="AA133" s="101">
        <f t="shared" si="31"/>
        <v>5.0849315068493155</v>
      </c>
      <c r="AB133" s="102">
        <f t="shared" si="34"/>
        <v>17.17808219178082</v>
      </c>
      <c r="AC133" s="103">
        <v>46053</v>
      </c>
    </row>
    <row r="134" spans="1:29" x14ac:dyDescent="0.25">
      <c r="A134" s="4">
        <v>131</v>
      </c>
      <c r="B134" s="133" t="s">
        <v>461</v>
      </c>
      <c r="C134" s="133" t="s">
        <v>590</v>
      </c>
      <c r="D134" s="134">
        <v>40695</v>
      </c>
      <c r="E134" s="134">
        <v>44197</v>
      </c>
      <c r="F134" s="108"/>
      <c r="G134" s="102"/>
      <c r="H134" s="102">
        <v>0</v>
      </c>
      <c r="I134" s="102">
        <f>'2013'!I60</f>
        <v>0</v>
      </c>
      <c r="J134" s="58"/>
      <c r="K134" s="58"/>
      <c r="L134" s="58"/>
      <c r="M134" s="135"/>
      <c r="N134" s="101">
        <f>'2018'!M96</f>
        <v>0</v>
      </c>
      <c r="O134" s="101">
        <f>'2019'!M99</f>
        <v>0</v>
      </c>
      <c r="P134" s="101">
        <v>0</v>
      </c>
      <c r="Q134" s="100">
        <v>163</v>
      </c>
      <c r="R134" s="101">
        <v>0</v>
      </c>
      <c r="S134" s="101">
        <v>0</v>
      </c>
      <c r="T134" s="101">
        <v>0</v>
      </c>
      <c r="U134" s="100">
        <f>'2025'!M124</f>
        <v>78</v>
      </c>
      <c r="V134" s="101">
        <f>'2026'!M124</f>
        <v>0</v>
      </c>
      <c r="W134" s="101">
        <f t="shared" si="35"/>
        <v>163</v>
      </c>
      <c r="X134" s="101">
        <f t="shared" si="29"/>
        <v>32.6</v>
      </c>
      <c r="Y134" s="101">
        <f t="shared" si="30"/>
        <v>-13.220821917808227</v>
      </c>
      <c r="Z134" s="58">
        <f t="shared" si="33"/>
        <v>1856</v>
      </c>
      <c r="AA134" s="101">
        <f t="shared" si="31"/>
        <v>5.0849315068493155</v>
      </c>
      <c r="AB134" s="102">
        <f t="shared" si="34"/>
        <v>14.67945205479452</v>
      </c>
      <c r="AC134" s="103">
        <v>46053</v>
      </c>
    </row>
    <row r="135" spans="1:29" ht="16.5" customHeight="1" x14ac:dyDescent="0.25">
      <c r="A135" s="4">
        <v>132</v>
      </c>
      <c r="B135" s="133" t="s">
        <v>464</v>
      </c>
      <c r="C135" s="133" t="s">
        <v>593</v>
      </c>
      <c r="D135" s="134">
        <v>42156</v>
      </c>
      <c r="E135" s="134">
        <v>44197</v>
      </c>
      <c r="F135" s="117"/>
      <c r="G135" s="117"/>
      <c r="H135" s="117"/>
      <c r="I135" s="117"/>
      <c r="J135" s="58"/>
      <c r="K135" s="58"/>
      <c r="L135" s="58"/>
      <c r="M135" s="135"/>
      <c r="N135" s="101">
        <f>'2018'!M100</f>
        <v>0</v>
      </c>
      <c r="O135" s="100">
        <f>'2019'!M103</f>
        <v>47</v>
      </c>
      <c r="P135" s="101">
        <v>52</v>
      </c>
      <c r="Q135" s="101">
        <v>0</v>
      </c>
      <c r="R135" s="101">
        <v>0</v>
      </c>
      <c r="S135" s="101">
        <v>77</v>
      </c>
      <c r="T135" s="101">
        <f>'2024'!M112</f>
        <v>36</v>
      </c>
      <c r="U135" s="101">
        <f>'2025'!M125</f>
        <v>0</v>
      </c>
      <c r="V135" s="101">
        <f>'2026'!M125</f>
        <v>0</v>
      </c>
      <c r="W135" s="101">
        <f t="shared" si="35"/>
        <v>165</v>
      </c>
      <c r="X135" s="101">
        <f t="shared" si="29"/>
        <v>33</v>
      </c>
      <c r="Y135" s="101">
        <f t="shared" si="30"/>
        <v>-15.608219178082193</v>
      </c>
      <c r="Z135" s="58">
        <f t="shared" si="33"/>
        <v>1899</v>
      </c>
      <c r="AA135" s="101">
        <f t="shared" si="31"/>
        <v>5.2027397260273975</v>
      </c>
      <c r="AB135" s="102">
        <f t="shared" si="34"/>
        <v>10.794520547945206</v>
      </c>
      <c r="AC135" s="103">
        <v>46096</v>
      </c>
    </row>
    <row r="136" spans="1:29" ht="16.5" customHeight="1" x14ac:dyDescent="0.25">
      <c r="A136" s="4">
        <v>133</v>
      </c>
      <c r="B136" s="133" t="s">
        <v>469</v>
      </c>
      <c r="C136" s="133" t="s">
        <v>467</v>
      </c>
      <c r="D136" s="134">
        <v>44256</v>
      </c>
      <c r="E136" s="134">
        <v>44256</v>
      </c>
      <c r="F136" s="58"/>
      <c r="G136" s="58"/>
      <c r="H136" s="58"/>
      <c r="I136" s="58"/>
      <c r="J136" s="58"/>
      <c r="K136" s="58"/>
      <c r="L136" s="58"/>
      <c r="M136" s="135"/>
      <c r="N136" s="58"/>
      <c r="O136" s="58"/>
      <c r="P136" s="58"/>
      <c r="Q136" s="101">
        <v>0</v>
      </c>
      <c r="R136" s="101">
        <v>0</v>
      </c>
      <c r="S136" s="101">
        <v>53</v>
      </c>
      <c r="T136" s="100">
        <f>'2024'!M115</f>
        <v>24</v>
      </c>
      <c r="U136" s="101">
        <f>'2025'!M126</f>
        <v>0</v>
      </c>
      <c r="V136" s="101">
        <f>'2026'!M126</f>
        <v>0</v>
      </c>
      <c r="W136" s="101">
        <f t="shared" si="35"/>
        <v>77</v>
      </c>
      <c r="X136" s="101">
        <f t="shared" si="29"/>
        <v>15.4</v>
      </c>
      <c r="Y136" s="101">
        <f t="shared" si="30"/>
        <v>71.88</v>
      </c>
      <c r="Z136" s="58">
        <f t="shared" si="33"/>
        <v>1797</v>
      </c>
      <c r="AA136" s="101">
        <f t="shared" si="31"/>
        <v>4.9232876712328766</v>
      </c>
      <c r="AB136" s="102">
        <f t="shared" si="34"/>
        <v>4.9232876712328766</v>
      </c>
      <c r="AC136" s="103">
        <v>46053</v>
      </c>
    </row>
    <row r="137" spans="1:29" x14ac:dyDescent="0.25">
      <c r="A137" s="4">
        <v>134</v>
      </c>
      <c r="B137" s="133" t="s">
        <v>475</v>
      </c>
      <c r="C137" s="133" t="s">
        <v>596</v>
      </c>
      <c r="D137" s="134">
        <v>44348</v>
      </c>
      <c r="E137" s="134">
        <v>44440</v>
      </c>
      <c r="F137" s="58"/>
      <c r="G137" s="58"/>
      <c r="H137" s="58"/>
      <c r="I137" s="58"/>
      <c r="J137" s="58"/>
      <c r="K137" s="58"/>
      <c r="L137" s="58"/>
      <c r="M137" s="135"/>
      <c r="N137" s="58"/>
      <c r="O137" s="58"/>
      <c r="P137" s="58"/>
      <c r="Q137" s="101">
        <v>0</v>
      </c>
      <c r="R137" s="101">
        <v>0</v>
      </c>
      <c r="S137" s="100">
        <v>62</v>
      </c>
      <c r="T137" s="101">
        <v>0</v>
      </c>
      <c r="U137" s="101">
        <f>'2025'!M127</f>
        <v>0</v>
      </c>
      <c r="V137" s="101">
        <f>'2026'!M127</f>
        <v>0</v>
      </c>
      <c r="W137" s="101">
        <f t="shared" si="35"/>
        <v>62</v>
      </c>
      <c r="X137" s="101">
        <f t="shared" si="29"/>
        <v>12.4</v>
      </c>
      <c r="Y137" s="101">
        <f t="shared" si="30"/>
        <v>77.777534246575357</v>
      </c>
      <c r="Z137" s="58">
        <f t="shared" si="33"/>
        <v>1613</v>
      </c>
      <c r="AA137" s="101">
        <f t="shared" si="31"/>
        <v>4.419178082191781</v>
      </c>
      <c r="AB137" s="102">
        <f t="shared" si="34"/>
        <v>4.6712328767123283</v>
      </c>
      <c r="AC137" s="103">
        <v>46053</v>
      </c>
    </row>
    <row r="138" spans="1:29" ht="16.5" customHeight="1" x14ac:dyDescent="0.25">
      <c r="A138" s="4">
        <v>135</v>
      </c>
      <c r="B138" s="133" t="s">
        <v>471</v>
      </c>
      <c r="C138" s="133" t="s">
        <v>597</v>
      </c>
      <c r="D138" s="134">
        <v>44470</v>
      </c>
      <c r="E138" s="134">
        <v>44470</v>
      </c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101">
        <v>0</v>
      </c>
      <c r="R138" s="101">
        <v>0</v>
      </c>
      <c r="S138" s="101">
        <v>0</v>
      </c>
      <c r="T138" s="101">
        <v>0</v>
      </c>
      <c r="U138" s="101">
        <f>'2025'!M128</f>
        <v>0</v>
      </c>
      <c r="V138" s="101">
        <f>'2026'!M128</f>
        <v>0</v>
      </c>
      <c r="W138" s="101">
        <f t="shared" si="35"/>
        <v>0</v>
      </c>
      <c r="X138" s="101">
        <f t="shared" si="29"/>
        <v>0</v>
      </c>
      <c r="Y138" s="101">
        <f t="shared" si="30"/>
        <v>130.10958904109589</v>
      </c>
      <c r="Z138" s="58">
        <f t="shared" si="33"/>
        <v>1583</v>
      </c>
      <c r="AA138" s="101">
        <f t="shared" si="31"/>
        <v>4.3369863013698629</v>
      </c>
      <c r="AB138" s="102">
        <f t="shared" si="34"/>
        <v>4.3369863013698629</v>
      </c>
      <c r="AC138" s="103">
        <v>46053</v>
      </c>
    </row>
    <row r="139" spans="1:29" x14ac:dyDescent="0.25">
      <c r="A139" s="4">
        <v>136</v>
      </c>
      <c r="B139" s="133" t="s">
        <v>472</v>
      </c>
      <c r="C139" s="133" t="s">
        <v>598</v>
      </c>
      <c r="D139" s="134">
        <v>44713</v>
      </c>
      <c r="E139" s="134">
        <v>44811</v>
      </c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101">
        <v>0</v>
      </c>
      <c r="R139" s="101">
        <v>0</v>
      </c>
      <c r="S139" s="101">
        <v>0</v>
      </c>
      <c r="T139" s="101">
        <v>0</v>
      </c>
      <c r="U139" s="101">
        <f>'2025'!M129</f>
        <v>0</v>
      </c>
      <c r="V139" s="101">
        <f>'2026'!M129</f>
        <v>0</v>
      </c>
      <c r="W139" s="101">
        <f t="shared" si="35"/>
        <v>0</v>
      </c>
      <c r="X139" s="101">
        <f t="shared" si="29"/>
        <v>0</v>
      </c>
      <c r="Y139" s="101">
        <f t="shared" si="30"/>
        <v>102.08219178082192</v>
      </c>
      <c r="Z139" s="58">
        <f t="shared" si="33"/>
        <v>1242</v>
      </c>
      <c r="AA139" s="101">
        <f t="shared" si="31"/>
        <v>3.4027397260273973</v>
      </c>
      <c r="AB139" s="102">
        <f t="shared" si="34"/>
        <v>3.6712328767123288</v>
      </c>
      <c r="AC139" s="103">
        <v>46053</v>
      </c>
    </row>
    <row r="140" spans="1:29" x14ac:dyDescent="0.25">
      <c r="A140" s="4">
        <v>137</v>
      </c>
      <c r="B140" s="133" t="s">
        <v>625</v>
      </c>
      <c r="C140" s="133" t="s">
        <v>616</v>
      </c>
      <c r="D140" s="115">
        <v>45002</v>
      </c>
      <c r="E140" s="134">
        <v>45044</v>
      </c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101">
        <v>0</v>
      </c>
      <c r="R140" s="101">
        <v>0</v>
      </c>
      <c r="S140" s="101">
        <v>0</v>
      </c>
      <c r="T140" s="101">
        <v>0</v>
      </c>
      <c r="U140" s="101">
        <f>'2025'!M130</f>
        <v>0</v>
      </c>
      <c r="V140" s="101">
        <f>'2026'!M130</f>
        <v>0</v>
      </c>
      <c r="W140" s="101">
        <f t="shared" si="35"/>
        <v>0</v>
      </c>
      <c r="X140" s="101">
        <f>W140/5</f>
        <v>0</v>
      </c>
      <c r="Y140" s="101">
        <f>SUM(30-X140)*AA140</f>
        <v>82.93150684931507</v>
      </c>
      <c r="Z140" s="58">
        <f t="shared" si="33"/>
        <v>1009</v>
      </c>
      <c r="AA140" s="101">
        <f>Z140/365</f>
        <v>2.7643835616438355</v>
      </c>
      <c r="AB140" s="102">
        <f t="shared" si="34"/>
        <v>2.8794520547945206</v>
      </c>
      <c r="AC140" s="103">
        <v>46053</v>
      </c>
    </row>
    <row r="141" spans="1:29" x14ac:dyDescent="0.25">
      <c r="A141" s="4">
        <v>138</v>
      </c>
      <c r="B141" s="133" t="s">
        <v>642</v>
      </c>
      <c r="C141" s="133" t="s">
        <v>637</v>
      </c>
      <c r="D141" s="115">
        <v>45156</v>
      </c>
      <c r="E141" s="115">
        <v>45156</v>
      </c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101">
        <v>0</v>
      </c>
      <c r="R141" s="101">
        <v>0</v>
      </c>
      <c r="S141" s="101">
        <v>0</v>
      </c>
      <c r="T141" s="101">
        <v>0</v>
      </c>
      <c r="U141" s="101">
        <f>'2025'!M131</f>
        <v>0</v>
      </c>
      <c r="V141" s="101">
        <f>'2026'!M131</f>
        <v>0</v>
      </c>
      <c r="W141" s="101">
        <f t="shared" si="35"/>
        <v>0</v>
      </c>
      <c r="X141" s="101">
        <f>W141/5</f>
        <v>0</v>
      </c>
      <c r="Y141" s="101">
        <f>SUM(30-X141)*AA141</f>
        <v>83.589041095890423</v>
      </c>
      <c r="Z141" s="58">
        <f t="shared" si="33"/>
        <v>1017</v>
      </c>
      <c r="AA141" s="101">
        <f>Z141/365</f>
        <v>2.7863013698630139</v>
      </c>
      <c r="AB141" s="102">
        <f t="shared" si="34"/>
        <v>2.7863013698630139</v>
      </c>
      <c r="AC141" s="103">
        <v>46173</v>
      </c>
    </row>
    <row r="142" spans="1:29" x14ac:dyDescent="0.25">
      <c r="A142" s="4">
        <v>139</v>
      </c>
      <c r="B142" s="133" t="s">
        <v>699</v>
      </c>
      <c r="C142" s="133" t="s">
        <v>697</v>
      </c>
      <c r="D142" s="134">
        <v>45551</v>
      </c>
      <c r="E142" s="134">
        <v>45566</v>
      </c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101"/>
      <c r="R142" s="101"/>
      <c r="S142" s="101"/>
      <c r="T142" s="101"/>
      <c r="U142" s="101">
        <f>'2025'!M132</f>
        <v>0</v>
      </c>
      <c r="V142" s="101">
        <f>'2026'!M132</f>
        <v>0</v>
      </c>
      <c r="W142" s="101">
        <f t="shared" ref="W142" si="36">SUM(P142:T142)</f>
        <v>0</v>
      </c>
      <c r="X142" s="101">
        <f t="shared" ref="X142" si="37">W142/5</f>
        <v>0</v>
      </c>
      <c r="Y142" s="101">
        <f t="shared" ref="Y142:Y143" si="38">SUM(30-X142)*AA142</f>
        <v>0</v>
      </c>
      <c r="Z142" s="58"/>
      <c r="AA142" s="101"/>
      <c r="AB142" s="102">
        <f t="shared" ref="AB142:AB144" si="39">SUM(AC142-D142)/365</f>
        <v>1.3753424657534246</v>
      </c>
      <c r="AC142" s="103">
        <v>46053</v>
      </c>
    </row>
    <row r="143" spans="1:29" x14ac:dyDescent="0.25">
      <c r="A143" s="4">
        <v>140</v>
      </c>
      <c r="B143" s="133" t="s">
        <v>709</v>
      </c>
      <c r="C143" s="133" t="s">
        <v>708</v>
      </c>
      <c r="D143" s="134">
        <v>45717</v>
      </c>
      <c r="E143" s="134">
        <v>45775</v>
      </c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101">
        <v>0</v>
      </c>
      <c r="R143" s="101">
        <v>0</v>
      </c>
      <c r="S143" s="101">
        <v>0</v>
      </c>
      <c r="T143" s="101">
        <v>0</v>
      </c>
      <c r="U143" s="101"/>
      <c r="V143" s="101">
        <f>'2025'!M133</f>
        <v>27</v>
      </c>
      <c r="W143" s="101">
        <f>SUM(P143:V143)</f>
        <v>27</v>
      </c>
      <c r="X143" s="101">
        <f>W143/0.76</f>
        <v>35.526315789473685</v>
      </c>
      <c r="Y143" s="101">
        <f t="shared" si="38"/>
        <v>-4.2090843547224228</v>
      </c>
      <c r="Z143" s="58">
        <f>AC143-E143</f>
        <v>278</v>
      </c>
      <c r="AA143" s="101">
        <f>Z143/365</f>
        <v>0.76164383561643834</v>
      </c>
      <c r="AB143" s="102">
        <f t="shared" si="39"/>
        <v>0.92054794520547945</v>
      </c>
      <c r="AC143" s="103">
        <v>46053</v>
      </c>
    </row>
    <row r="144" spans="1:29" x14ac:dyDescent="0.25">
      <c r="A144" s="4">
        <v>141</v>
      </c>
      <c r="B144" s="133" t="s">
        <v>702</v>
      </c>
      <c r="C144" s="133" t="s">
        <v>703</v>
      </c>
      <c r="D144" s="134">
        <v>45434</v>
      </c>
      <c r="E144" s="134">
        <v>45434</v>
      </c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101"/>
      <c r="R144" s="101"/>
      <c r="S144" s="101"/>
      <c r="T144" s="101"/>
      <c r="U144" s="101">
        <f>'2025'!M134</f>
        <v>18</v>
      </c>
      <c r="V144" s="101"/>
      <c r="W144" s="101"/>
      <c r="X144" s="101"/>
      <c r="Y144" s="101"/>
      <c r="Z144" s="58"/>
      <c r="AA144" s="101"/>
      <c r="AB144" s="102">
        <f t="shared" si="39"/>
        <v>1.6958904109589041</v>
      </c>
      <c r="AC144" s="103">
        <v>46053</v>
      </c>
    </row>
  </sheetData>
  <mergeCells count="5">
    <mergeCell ref="F22:H22"/>
    <mergeCell ref="F27:G27"/>
    <mergeCell ref="F19:J19"/>
    <mergeCell ref="F5:J5"/>
    <mergeCell ref="F6:L6"/>
  </mergeCells>
  <phoneticPr fontId="21" type="noConversion"/>
  <conditionalFormatting sqref="X4:X12 X14:X91 X93:X97 X99 X101 X103:X144">
    <cfRule type="cellIs" dxfId="3" priority="1" operator="greaterThan">
      <formula>30</formula>
    </cfRule>
  </conditionalFormatting>
  <conditionalFormatting sqref="X4:X91 X93:X144">
    <cfRule type="cellIs" dxfId="2" priority="5" operator="greaterThan">
      <formula>30</formula>
    </cfRule>
  </conditionalFormatting>
  <conditionalFormatting sqref="Y4:Y144">
    <cfRule type="cellIs" dxfId="1" priority="2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3793-10BC-4D0C-A75E-CE93CB7B4FA3}">
  <dimension ref="A1:N149"/>
  <sheetViews>
    <sheetView workbookViewId="0">
      <selection activeCell="G20" sqref="G20"/>
    </sheetView>
  </sheetViews>
  <sheetFormatPr defaultRowHeight="15" x14ac:dyDescent="0.25"/>
  <cols>
    <col min="1" max="1" width="11.42578125" style="88" customWidth="1"/>
    <col min="2" max="2" width="63" style="88" customWidth="1"/>
    <col min="3" max="3" width="17.140625" style="82" bestFit="1" customWidth="1"/>
    <col min="4" max="4" width="15.5703125" style="88" customWidth="1"/>
    <col min="5" max="5" width="17.7109375" style="88" customWidth="1"/>
    <col min="6" max="6" width="12" style="88" customWidth="1"/>
    <col min="7" max="7" width="10.5703125" style="88" customWidth="1"/>
    <col min="8" max="8" width="12.28515625" style="88" customWidth="1"/>
    <col min="9" max="9" width="11.28515625" style="88" customWidth="1"/>
    <col min="10" max="10" width="7.42578125" style="88" customWidth="1"/>
    <col min="11" max="11" width="8.140625" style="88" customWidth="1"/>
    <col min="12" max="12" width="5.42578125" style="88" customWidth="1"/>
    <col min="13" max="13" width="9.7109375" style="88" customWidth="1"/>
    <col min="14" max="14" width="9" style="88" customWidth="1"/>
  </cols>
  <sheetData>
    <row r="1" spans="1:14" ht="37.5" customHeight="1" x14ac:dyDescent="0.25">
      <c r="A1" s="90" t="s">
        <v>600</v>
      </c>
      <c r="B1" s="90" t="s">
        <v>126</v>
      </c>
      <c r="C1" s="71" t="s">
        <v>131</v>
      </c>
      <c r="D1" s="144" t="s">
        <v>127</v>
      </c>
      <c r="E1" s="144"/>
      <c r="F1" s="144" t="s">
        <v>128</v>
      </c>
      <c r="G1" s="144"/>
      <c r="H1" s="144" t="s">
        <v>215</v>
      </c>
      <c r="I1" s="144"/>
      <c r="J1" s="80">
        <v>1</v>
      </c>
      <c r="K1" s="80">
        <v>2</v>
      </c>
      <c r="L1" s="80">
        <v>3</v>
      </c>
      <c r="M1" s="80" t="s">
        <v>72</v>
      </c>
      <c r="N1" s="80" t="s">
        <v>378</v>
      </c>
    </row>
    <row r="2" spans="1:14" x14ac:dyDescent="0.25">
      <c r="A2" s="4">
        <v>1</v>
      </c>
      <c r="B2" s="133" t="s">
        <v>490</v>
      </c>
      <c r="C2" s="134">
        <v>39295</v>
      </c>
      <c r="D2" s="103">
        <v>46056</v>
      </c>
      <c r="E2" s="103">
        <v>46058</v>
      </c>
      <c r="F2" s="103"/>
      <c r="G2" s="103"/>
      <c r="H2" s="103"/>
      <c r="I2" s="103"/>
      <c r="J2" s="58">
        <f t="shared" ref="J2:J65" si="0">E2-D2</f>
        <v>2</v>
      </c>
      <c r="K2" s="58">
        <f>G2-F2</f>
        <v>0</v>
      </c>
      <c r="L2" s="58">
        <f>I2-H2</f>
        <v>0</v>
      </c>
      <c r="M2" s="58">
        <f>J2+K2+L2</f>
        <v>2</v>
      </c>
      <c r="N2" s="58"/>
    </row>
    <row r="3" spans="1:14" x14ac:dyDescent="0.25">
      <c r="A3" s="4">
        <v>2</v>
      </c>
      <c r="B3" s="133" t="s">
        <v>491</v>
      </c>
      <c r="C3" s="134">
        <v>41883</v>
      </c>
      <c r="D3" s="103">
        <v>46072</v>
      </c>
      <c r="E3" s="103">
        <v>46086</v>
      </c>
      <c r="F3" s="103"/>
      <c r="G3" s="103"/>
      <c r="H3" s="103"/>
      <c r="I3" s="103"/>
      <c r="J3" s="58">
        <f t="shared" si="0"/>
        <v>14</v>
      </c>
      <c r="K3" s="58">
        <f t="shared" ref="K3:K66" si="1">G3-F3</f>
        <v>0</v>
      </c>
      <c r="L3" s="58">
        <f t="shared" ref="L3:L66" si="2">I3-H3</f>
        <v>0</v>
      </c>
      <c r="M3" s="58">
        <f t="shared" ref="M3:M61" si="3">J3+K3+L3</f>
        <v>14</v>
      </c>
      <c r="N3" s="58"/>
    </row>
    <row r="4" spans="1:14" x14ac:dyDescent="0.25">
      <c r="A4" s="4">
        <v>3</v>
      </c>
      <c r="B4" s="133" t="s">
        <v>492</v>
      </c>
      <c r="C4" s="134">
        <v>42740</v>
      </c>
      <c r="D4" s="103"/>
      <c r="E4" s="103"/>
      <c r="F4" s="103"/>
      <c r="G4" s="103"/>
      <c r="H4" s="103"/>
      <c r="I4" s="103"/>
      <c r="J4" s="58">
        <f t="shared" si="0"/>
        <v>0</v>
      </c>
      <c r="K4" s="58">
        <f t="shared" si="1"/>
        <v>0</v>
      </c>
      <c r="L4" s="58">
        <f t="shared" si="2"/>
        <v>0</v>
      </c>
      <c r="M4" s="58">
        <f t="shared" si="3"/>
        <v>0</v>
      </c>
      <c r="N4" s="58"/>
    </row>
    <row r="5" spans="1:14" x14ac:dyDescent="0.25">
      <c r="A5" s="4">
        <v>4</v>
      </c>
      <c r="B5" s="133" t="s">
        <v>350</v>
      </c>
      <c r="C5" s="134">
        <v>44762</v>
      </c>
      <c r="D5" s="103">
        <v>46023</v>
      </c>
      <c r="E5" s="103">
        <v>46053</v>
      </c>
      <c r="F5" s="103"/>
      <c r="G5" s="103"/>
      <c r="H5" s="103"/>
      <c r="I5" s="103"/>
      <c r="J5" s="58">
        <f t="shared" si="0"/>
        <v>30</v>
      </c>
      <c r="K5" s="58">
        <f t="shared" si="1"/>
        <v>0</v>
      </c>
      <c r="L5" s="58">
        <f t="shared" si="2"/>
        <v>0</v>
      </c>
      <c r="M5" s="58">
        <f t="shared" si="3"/>
        <v>30</v>
      </c>
      <c r="N5" s="58"/>
    </row>
    <row r="6" spans="1:14" x14ac:dyDescent="0.25">
      <c r="A6" s="4">
        <v>5</v>
      </c>
      <c r="B6" s="133" t="s">
        <v>691</v>
      </c>
      <c r="C6" s="134">
        <v>45658</v>
      </c>
      <c r="D6" s="103"/>
      <c r="E6" s="103"/>
      <c r="F6" s="103"/>
      <c r="G6" s="103"/>
      <c r="H6" s="103"/>
      <c r="I6" s="103"/>
      <c r="J6" s="58">
        <f t="shared" si="0"/>
        <v>0</v>
      </c>
      <c r="K6" s="58">
        <f t="shared" si="1"/>
        <v>0</v>
      </c>
      <c r="L6" s="58">
        <f t="shared" si="2"/>
        <v>0</v>
      </c>
      <c r="M6" s="58">
        <f t="shared" si="3"/>
        <v>0</v>
      </c>
      <c r="N6" s="58"/>
    </row>
    <row r="7" spans="1:14" x14ac:dyDescent="0.25">
      <c r="A7" s="4">
        <v>6</v>
      </c>
      <c r="B7" s="133" t="s">
        <v>653</v>
      </c>
      <c r="C7" s="115">
        <v>45301</v>
      </c>
      <c r="D7" s="103"/>
      <c r="E7" s="103"/>
      <c r="F7" s="103"/>
      <c r="G7" s="103"/>
      <c r="H7" s="103"/>
      <c r="I7" s="103"/>
      <c r="J7" s="58">
        <f t="shared" si="0"/>
        <v>0</v>
      </c>
      <c r="K7" s="58">
        <f t="shared" si="1"/>
        <v>0</v>
      </c>
      <c r="L7" s="58">
        <f t="shared" si="2"/>
        <v>0</v>
      </c>
      <c r="M7" s="58">
        <f t="shared" si="3"/>
        <v>0</v>
      </c>
      <c r="N7" s="58"/>
    </row>
    <row r="8" spans="1:14" x14ac:dyDescent="0.25">
      <c r="A8" s="4">
        <v>7</v>
      </c>
      <c r="B8" s="133" t="s">
        <v>680</v>
      </c>
      <c r="C8" s="115">
        <v>45432</v>
      </c>
      <c r="D8" s="103">
        <v>46054</v>
      </c>
      <c r="E8" s="103">
        <v>46068</v>
      </c>
      <c r="F8" s="103"/>
      <c r="G8" s="103"/>
      <c r="H8" s="103"/>
      <c r="I8" s="103"/>
      <c r="J8" s="58">
        <f t="shared" si="0"/>
        <v>14</v>
      </c>
      <c r="K8" s="58">
        <f t="shared" si="1"/>
        <v>0</v>
      </c>
      <c r="L8" s="58">
        <f t="shared" si="2"/>
        <v>0</v>
      </c>
      <c r="M8" s="58">
        <f t="shared" si="3"/>
        <v>14</v>
      </c>
      <c r="N8" s="58"/>
    </row>
    <row r="9" spans="1:14" x14ac:dyDescent="0.25">
      <c r="A9" s="4">
        <v>8</v>
      </c>
      <c r="B9" s="91" t="s">
        <v>497</v>
      </c>
      <c r="C9" s="74">
        <v>39083</v>
      </c>
      <c r="D9" s="103">
        <v>46077</v>
      </c>
      <c r="E9" s="103">
        <v>46084</v>
      </c>
      <c r="F9" s="103"/>
      <c r="G9" s="103"/>
      <c r="H9" s="103"/>
      <c r="I9" s="103"/>
      <c r="J9" s="58">
        <f t="shared" si="0"/>
        <v>7</v>
      </c>
      <c r="K9" s="58">
        <f t="shared" si="1"/>
        <v>0</v>
      </c>
      <c r="L9" s="58">
        <f t="shared" si="2"/>
        <v>0</v>
      </c>
      <c r="M9" s="58">
        <f t="shared" si="3"/>
        <v>7</v>
      </c>
      <c r="N9" s="58"/>
    </row>
    <row r="10" spans="1:14" x14ac:dyDescent="0.25">
      <c r="A10" s="4">
        <v>9</v>
      </c>
      <c r="B10" s="133" t="s">
        <v>592</v>
      </c>
      <c r="C10" s="134">
        <v>41852</v>
      </c>
      <c r="D10" s="103"/>
      <c r="E10" s="103"/>
      <c r="F10" s="103"/>
      <c r="G10" s="103"/>
      <c r="H10" s="103"/>
      <c r="I10" s="103"/>
      <c r="J10" s="58">
        <f t="shared" si="0"/>
        <v>0</v>
      </c>
      <c r="K10" s="58">
        <f t="shared" si="1"/>
        <v>0</v>
      </c>
      <c r="L10" s="58">
        <f t="shared" si="2"/>
        <v>0</v>
      </c>
      <c r="M10" s="58">
        <f t="shared" si="3"/>
        <v>0</v>
      </c>
      <c r="N10" s="89"/>
    </row>
    <row r="11" spans="1:14" x14ac:dyDescent="0.25">
      <c r="A11" s="4">
        <v>10</v>
      </c>
      <c r="B11" s="91" t="s">
        <v>498</v>
      </c>
      <c r="C11" s="74">
        <v>39083</v>
      </c>
      <c r="D11" s="103"/>
      <c r="E11" s="103"/>
      <c r="F11" s="103"/>
      <c r="G11" s="103"/>
      <c r="H11" s="103"/>
      <c r="I11" s="103"/>
      <c r="J11" s="58">
        <f t="shared" si="0"/>
        <v>0</v>
      </c>
      <c r="K11" s="58">
        <f t="shared" si="1"/>
        <v>0</v>
      </c>
      <c r="L11" s="58">
        <f t="shared" si="2"/>
        <v>0</v>
      </c>
      <c r="M11" s="58">
        <f t="shared" si="3"/>
        <v>0</v>
      </c>
      <c r="N11" s="58"/>
    </row>
    <row r="12" spans="1:14" x14ac:dyDescent="0.25">
      <c r="A12" s="4">
        <v>11</v>
      </c>
      <c r="B12" s="133" t="s">
        <v>499</v>
      </c>
      <c r="C12" s="134">
        <v>39083</v>
      </c>
      <c r="D12" s="103"/>
      <c r="E12" s="103"/>
      <c r="F12" s="103"/>
      <c r="G12" s="103"/>
      <c r="H12" s="103"/>
      <c r="I12" s="103"/>
      <c r="J12" s="58">
        <f t="shared" si="0"/>
        <v>0</v>
      </c>
      <c r="K12" s="58">
        <f t="shared" si="1"/>
        <v>0</v>
      </c>
      <c r="L12" s="58">
        <f t="shared" si="2"/>
        <v>0</v>
      </c>
      <c r="M12" s="58">
        <f t="shared" si="3"/>
        <v>0</v>
      </c>
      <c r="N12" s="58"/>
    </row>
    <row r="13" spans="1:14" x14ac:dyDescent="0.25">
      <c r="A13" s="4">
        <v>12</v>
      </c>
      <c r="B13" s="133" t="s">
        <v>12</v>
      </c>
      <c r="C13" s="134">
        <v>39142</v>
      </c>
      <c r="D13" s="103"/>
      <c r="E13" s="103"/>
      <c r="F13" s="103"/>
      <c r="G13" s="103"/>
      <c r="H13" s="103"/>
      <c r="I13" s="103"/>
      <c r="J13" s="58">
        <f t="shared" si="0"/>
        <v>0</v>
      </c>
      <c r="K13" s="58">
        <f t="shared" si="1"/>
        <v>0</v>
      </c>
      <c r="L13" s="58">
        <f t="shared" si="2"/>
        <v>0</v>
      </c>
      <c r="M13" s="58">
        <f t="shared" si="3"/>
        <v>0</v>
      </c>
      <c r="N13" s="58"/>
    </row>
    <row r="14" spans="1:14" x14ac:dyDescent="0.25">
      <c r="A14" s="4">
        <v>13</v>
      </c>
      <c r="B14" s="133" t="s">
        <v>500</v>
      </c>
      <c r="C14" s="134">
        <v>42036</v>
      </c>
      <c r="D14" s="103">
        <v>46072</v>
      </c>
      <c r="E14" s="103">
        <v>46086</v>
      </c>
      <c r="F14" s="103"/>
      <c r="G14" s="103"/>
      <c r="H14" s="103"/>
      <c r="I14" s="103"/>
      <c r="J14" s="58">
        <f t="shared" si="0"/>
        <v>14</v>
      </c>
      <c r="K14" s="58">
        <f t="shared" si="1"/>
        <v>0</v>
      </c>
      <c r="L14" s="58">
        <f t="shared" si="2"/>
        <v>0</v>
      </c>
      <c r="M14" s="58">
        <f t="shared" si="3"/>
        <v>14</v>
      </c>
      <c r="N14" s="58"/>
    </row>
    <row r="15" spans="1:14" ht="15.75" customHeight="1" x14ac:dyDescent="0.25">
      <c r="A15" s="4">
        <v>14</v>
      </c>
      <c r="B15" s="133" t="s">
        <v>494</v>
      </c>
      <c r="C15" s="134">
        <v>44317</v>
      </c>
      <c r="D15" s="103"/>
      <c r="E15" s="103"/>
      <c r="F15" s="103"/>
      <c r="G15" s="103"/>
      <c r="H15" s="103"/>
      <c r="I15" s="103"/>
      <c r="J15" s="58">
        <f t="shared" si="0"/>
        <v>0</v>
      </c>
      <c r="K15" s="58">
        <f t="shared" si="1"/>
        <v>0</v>
      </c>
      <c r="L15" s="58">
        <f t="shared" si="2"/>
        <v>0</v>
      </c>
      <c r="M15" s="58">
        <f t="shared" si="3"/>
        <v>0</v>
      </c>
      <c r="N15" s="58"/>
    </row>
    <row r="16" spans="1:14" x14ac:dyDescent="0.25">
      <c r="A16" s="4">
        <v>15</v>
      </c>
      <c r="B16" s="133" t="s">
        <v>501</v>
      </c>
      <c r="C16" s="134">
        <v>39083</v>
      </c>
      <c r="D16" s="103"/>
      <c r="E16" s="103"/>
      <c r="F16" s="103"/>
      <c r="G16" s="103"/>
      <c r="H16" s="103"/>
      <c r="I16" s="103"/>
      <c r="J16" s="58">
        <f t="shared" si="0"/>
        <v>0</v>
      </c>
      <c r="K16" s="58">
        <f t="shared" si="1"/>
        <v>0</v>
      </c>
      <c r="L16" s="58">
        <f t="shared" si="2"/>
        <v>0</v>
      </c>
      <c r="M16" s="58">
        <f t="shared" si="3"/>
        <v>0</v>
      </c>
      <c r="N16" s="58"/>
    </row>
    <row r="17" spans="1:14" x14ac:dyDescent="0.25">
      <c r="A17" s="4">
        <v>16</v>
      </c>
      <c r="B17" s="133" t="s">
        <v>502</v>
      </c>
      <c r="C17" s="134">
        <v>41334</v>
      </c>
      <c r="D17" s="103"/>
      <c r="E17" s="103"/>
      <c r="F17" s="103"/>
      <c r="G17" s="103"/>
      <c r="H17" s="103"/>
      <c r="I17" s="103"/>
      <c r="J17" s="58">
        <f t="shared" si="0"/>
        <v>0</v>
      </c>
      <c r="K17" s="58">
        <f t="shared" si="1"/>
        <v>0</v>
      </c>
      <c r="L17" s="58">
        <f t="shared" si="2"/>
        <v>0</v>
      </c>
      <c r="M17" s="58">
        <f t="shared" si="3"/>
        <v>0</v>
      </c>
      <c r="N17" s="58"/>
    </row>
    <row r="18" spans="1:14" x14ac:dyDescent="0.25">
      <c r="A18" s="4">
        <v>17</v>
      </c>
      <c r="B18" s="133" t="s">
        <v>503</v>
      </c>
      <c r="C18" s="134">
        <v>40483</v>
      </c>
      <c r="D18" s="103"/>
      <c r="E18" s="103"/>
      <c r="F18" s="103"/>
      <c r="G18" s="103"/>
      <c r="H18" s="103"/>
      <c r="I18" s="103"/>
      <c r="J18" s="58">
        <f t="shared" si="0"/>
        <v>0</v>
      </c>
      <c r="K18" s="58">
        <f t="shared" si="1"/>
        <v>0</v>
      </c>
      <c r="L18" s="58">
        <f t="shared" si="2"/>
        <v>0</v>
      </c>
      <c r="M18" s="58">
        <f t="shared" si="3"/>
        <v>0</v>
      </c>
      <c r="N18" s="58"/>
    </row>
    <row r="19" spans="1:14" x14ac:dyDescent="0.25">
      <c r="A19" s="4">
        <v>18</v>
      </c>
      <c r="B19" s="133" t="s">
        <v>504</v>
      </c>
      <c r="C19" s="134">
        <v>44652</v>
      </c>
      <c r="D19" s="103"/>
      <c r="E19" s="103"/>
      <c r="F19" s="103"/>
      <c r="G19" s="103"/>
      <c r="H19" s="103"/>
      <c r="I19" s="103"/>
      <c r="J19" s="58">
        <f t="shared" si="0"/>
        <v>0</v>
      </c>
      <c r="K19" s="58">
        <f t="shared" si="1"/>
        <v>0</v>
      </c>
      <c r="L19" s="58">
        <f t="shared" si="2"/>
        <v>0</v>
      </c>
      <c r="M19" s="58">
        <f t="shared" si="3"/>
        <v>0</v>
      </c>
      <c r="N19" s="58"/>
    </row>
    <row r="20" spans="1:14" x14ac:dyDescent="0.25">
      <c r="A20" s="4">
        <v>19</v>
      </c>
      <c r="B20" s="133" t="s">
        <v>505</v>
      </c>
      <c r="C20" s="134">
        <v>44652</v>
      </c>
      <c r="D20" s="103"/>
      <c r="E20" s="103"/>
      <c r="F20" s="103"/>
      <c r="G20" s="103"/>
      <c r="H20" s="103"/>
      <c r="I20" s="103"/>
      <c r="J20" s="58">
        <f t="shared" si="0"/>
        <v>0</v>
      </c>
      <c r="K20" s="58">
        <f t="shared" si="1"/>
        <v>0</v>
      </c>
      <c r="L20" s="58">
        <f t="shared" si="2"/>
        <v>0</v>
      </c>
      <c r="M20" s="58">
        <f t="shared" si="3"/>
        <v>0</v>
      </c>
      <c r="N20" s="58"/>
    </row>
    <row r="21" spans="1:14" x14ac:dyDescent="0.25">
      <c r="A21" s="4">
        <v>20</v>
      </c>
      <c r="B21" s="133" t="s">
        <v>506</v>
      </c>
      <c r="C21" s="134">
        <v>44652</v>
      </c>
      <c r="D21" s="103"/>
      <c r="E21" s="103"/>
      <c r="F21" s="103"/>
      <c r="G21" s="103"/>
      <c r="H21" s="103"/>
      <c r="I21" s="103"/>
      <c r="J21" s="58">
        <f t="shared" si="0"/>
        <v>0</v>
      </c>
      <c r="K21" s="58">
        <f t="shared" si="1"/>
        <v>0</v>
      </c>
      <c r="L21" s="58">
        <f t="shared" si="2"/>
        <v>0</v>
      </c>
      <c r="M21" s="58">
        <f t="shared" si="3"/>
        <v>0</v>
      </c>
      <c r="N21" s="58"/>
    </row>
    <row r="22" spans="1:14" x14ac:dyDescent="0.25">
      <c r="A22" s="4">
        <v>21</v>
      </c>
      <c r="B22" s="133" t="s">
        <v>507</v>
      </c>
      <c r="C22" s="134">
        <v>41244</v>
      </c>
      <c r="D22" s="103"/>
      <c r="E22" s="103"/>
      <c r="F22" s="103"/>
      <c r="G22" s="103"/>
      <c r="H22" s="103"/>
      <c r="I22" s="103"/>
      <c r="J22" s="58">
        <f t="shared" si="0"/>
        <v>0</v>
      </c>
      <c r="K22" s="58">
        <f t="shared" si="1"/>
        <v>0</v>
      </c>
      <c r="L22" s="58">
        <f t="shared" si="2"/>
        <v>0</v>
      </c>
      <c r="M22" s="58">
        <f t="shared" si="3"/>
        <v>0</v>
      </c>
      <c r="N22" s="58"/>
    </row>
    <row r="23" spans="1:14" x14ac:dyDescent="0.25">
      <c r="A23" s="4">
        <v>22</v>
      </c>
      <c r="B23" s="133" t="s">
        <v>510</v>
      </c>
      <c r="C23" s="134">
        <v>41913</v>
      </c>
      <c r="D23" s="103"/>
      <c r="E23" s="103"/>
      <c r="F23" s="103"/>
      <c r="G23" s="103"/>
      <c r="H23" s="103"/>
      <c r="I23" s="103"/>
      <c r="J23" s="58">
        <f t="shared" si="0"/>
        <v>0</v>
      </c>
      <c r="K23" s="58">
        <f t="shared" si="1"/>
        <v>0</v>
      </c>
      <c r="L23" s="58">
        <f t="shared" si="2"/>
        <v>0</v>
      </c>
      <c r="M23" s="58">
        <f t="shared" si="3"/>
        <v>0</v>
      </c>
      <c r="N23" s="58"/>
    </row>
    <row r="24" spans="1:14" x14ac:dyDescent="0.25">
      <c r="A24" s="4">
        <v>23</v>
      </c>
      <c r="B24" s="133" t="s">
        <v>512</v>
      </c>
      <c r="C24" s="134">
        <v>41760</v>
      </c>
      <c r="D24" s="103"/>
      <c r="E24" s="103"/>
      <c r="F24" s="103"/>
      <c r="G24" s="103"/>
      <c r="H24" s="103"/>
      <c r="I24" s="103"/>
      <c r="J24" s="58">
        <f t="shared" si="0"/>
        <v>0</v>
      </c>
      <c r="K24" s="58">
        <f t="shared" si="1"/>
        <v>0</v>
      </c>
      <c r="L24" s="58">
        <f t="shared" si="2"/>
        <v>0</v>
      </c>
      <c r="M24" s="58">
        <f t="shared" si="3"/>
        <v>0</v>
      </c>
      <c r="N24" s="58"/>
    </row>
    <row r="25" spans="1:14" x14ac:dyDescent="0.25">
      <c r="A25" s="4">
        <v>24</v>
      </c>
      <c r="B25" s="133" t="s">
        <v>514</v>
      </c>
      <c r="C25" s="134">
        <v>40878</v>
      </c>
      <c r="D25" s="103"/>
      <c r="E25" s="103"/>
      <c r="F25" s="103"/>
      <c r="G25" s="103"/>
      <c r="H25" s="103"/>
      <c r="I25" s="103"/>
      <c r="J25" s="58">
        <f t="shared" si="0"/>
        <v>0</v>
      </c>
      <c r="K25" s="58">
        <f t="shared" si="1"/>
        <v>0</v>
      </c>
      <c r="L25" s="58">
        <f t="shared" si="2"/>
        <v>0</v>
      </c>
      <c r="M25" s="58">
        <f t="shared" si="3"/>
        <v>0</v>
      </c>
      <c r="N25" s="58"/>
    </row>
    <row r="26" spans="1:14" x14ac:dyDescent="0.25">
      <c r="A26" s="4">
        <v>25</v>
      </c>
      <c r="B26" s="133" t="s">
        <v>516</v>
      </c>
      <c r="C26" s="134">
        <v>42522</v>
      </c>
      <c r="D26" s="103"/>
      <c r="E26" s="103"/>
      <c r="F26" s="103"/>
      <c r="G26" s="103"/>
      <c r="H26" s="103"/>
      <c r="I26" s="103"/>
      <c r="J26" s="58">
        <f t="shared" si="0"/>
        <v>0</v>
      </c>
      <c r="K26" s="58">
        <f t="shared" si="1"/>
        <v>0</v>
      </c>
      <c r="L26" s="58">
        <f t="shared" si="2"/>
        <v>0</v>
      </c>
      <c r="M26" s="58">
        <f t="shared" si="3"/>
        <v>0</v>
      </c>
      <c r="N26" s="58"/>
    </row>
    <row r="27" spans="1:14" x14ac:dyDescent="0.25">
      <c r="A27" s="4">
        <v>26</v>
      </c>
      <c r="B27" s="133" t="s">
        <v>519</v>
      </c>
      <c r="C27" s="134">
        <v>42675</v>
      </c>
      <c r="D27" s="103"/>
      <c r="E27" s="103"/>
      <c r="F27" s="103"/>
      <c r="G27" s="103"/>
      <c r="H27" s="103"/>
      <c r="I27" s="103"/>
      <c r="J27" s="58">
        <f t="shared" si="0"/>
        <v>0</v>
      </c>
      <c r="K27" s="58">
        <f t="shared" si="1"/>
        <v>0</v>
      </c>
      <c r="L27" s="58">
        <f t="shared" si="2"/>
        <v>0</v>
      </c>
      <c r="M27" s="58">
        <f t="shared" si="3"/>
        <v>0</v>
      </c>
      <c r="N27" s="58"/>
    </row>
    <row r="28" spans="1:14" x14ac:dyDescent="0.25">
      <c r="A28" s="4">
        <v>27</v>
      </c>
      <c r="B28" s="133" t="s">
        <v>675</v>
      </c>
      <c r="C28" s="134">
        <v>42948</v>
      </c>
      <c r="D28" s="103"/>
      <c r="E28" s="103"/>
      <c r="F28" s="103"/>
      <c r="G28" s="103"/>
      <c r="H28" s="103"/>
      <c r="I28" s="103"/>
      <c r="J28" s="58">
        <f t="shared" si="0"/>
        <v>0</v>
      </c>
      <c r="K28" s="58">
        <f t="shared" si="1"/>
        <v>0</v>
      </c>
      <c r="L28" s="58">
        <f t="shared" si="2"/>
        <v>0</v>
      </c>
      <c r="M28" s="58">
        <f t="shared" si="3"/>
        <v>0</v>
      </c>
      <c r="N28" s="58"/>
    </row>
    <row r="29" spans="1:14" x14ac:dyDescent="0.25">
      <c r="A29" s="4">
        <v>28</v>
      </c>
      <c r="B29" s="133" t="s">
        <v>599</v>
      </c>
      <c r="C29" s="134">
        <v>42979</v>
      </c>
      <c r="D29" s="103"/>
      <c r="E29" s="103"/>
      <c r="F29" s="103"/>
      <c r="G29" s="103"/>
      <c r="H29" s="103"/>
      <c r="I29" s="103"/>
      <c r="J29" s="58">
        <f t="shared" si="0"/>
        <v>0</v>
      </c>
      <c r="K29" s="58">
        <f t="shared" si="1"/>
        <v>0</v>
      </c>
      <c r="L29" s="58">
        <f t="shared" si="2"/>
        <v>0</v>
      </c>
      <c r="M29" s="58">
        <f t="shared" si="3"/>
        <v>0</v>
      </c>
      <c r="N29" s="58"/>
    </row>
    <row r="30" spans="1:14" x14ac:dyDescent="0.25">
      <c r="A30" s="4">
        <v>29</v>
      </c>
      <c r="B30" s="133" t="s">
        <v>521</v>
      </c>
      <c r="C30" s="134">
        <v>43101</v>
      </c>
      <c r="D30" s="103"/>
      <c r="E30" s="103"/>
      <c r="F30" s="103"/>
      <c r="G30" s="103"/>
      <c r="H30" s="103"/>
      <c r="I30" s="103"/>
      <c r="J30" s="58">
        <f t="shared" si="0"/>
        <v>0</v>
      </c>
      <c r="K30" s="58">
        <f t="shared" si="1"/>
        <v>0</v>
      </c>
      <c r="L30" s="58">
        <f t="shared" si="2"/>
        <v>0</v>
      </c>
      <c r="M30" s="58">
        <f t="shared" si="3"/>
        <v>0</v>
      </c>
      <c r="N30" s="58"/>
    </row>
    <row r="31" spans="1:14" x14ac:dyDescent="0.25">
      <c r="A31" s="4">
        <v>30</v>
      </c>
      <c r="B31" s="133" t="s">
        <v>522</v>
      </c>
      <c r="C31" s="134">
        <v>43101</v>
      </c>
      <c r="D31" s="103"/>
      <c r="E31" s="103"/>
      <c r="F31" s="103"/>
      <c r="G31" s="103"/>
      <c r="H31" s="103"/>
      <c r="I31" s="103"/>
      <c r="J31" s="58">
        <f t="shared" si="0"/>
        <v>0</v>
      </c>
      <c r="K31" s="58">
        <f t="shared" si="1"/>
        <v>0</v>
      </c>
      <c r="L31" s="58">
        <f t="shared" si="2"/>
        <v>0</v>
      </c>
      <c r="M31" s="58">
        <f t="shared" si="3"/>
        <v>0</v>
      </c>
      <c r="N31" s="58"/>
    </row>
    <row r="32" spans="1:14" x14ac:dyDescent="0.25">
      <c r="A32" s="4">
        <v>31</v>
      </c>
      <c r="B32" s="133" t="s">
        <v>523</v>
      </c>
      <c r="C32" s="134">
        <v>43132</v>
      </c>
      <c r="D32" s="103"/>
      <c r="E32" s="103"/>
      <c r="F32" s="103"/>
      <c r="G32" s="103"/>
      <c r="H32" s="103"/>
      <c r="I32" s="103"/>
      <c r="J32" s="58">
        <f t="shared" si="0"/>
        <v>0</v>
      </c>
      <c r="K32" s="58">
        <f t="shared" si="1"/>
        <v>0</v>
      </c>
      <c r="L32" s="58">
        <f t="shared" si="2"/>
        <v>0</v>
      </c>
      <c r="M32" s="58">
        <f t="shared" si="3"/>
        <v>0</v>
      </c>
      <c r="N32" s="58"/>
    </row>
    <row r="33" spans="1:14" x14ac:dyDescent="0.25">
      <c r="A33" s="4">
        <v>32</v>
      </c>
      <c r="B33" s="133" t="s">
        <v>524</v>
      </c>
      <c r="C33" s="134">
        <v>43191</v>
      </c>
      <c r="D33" s="103"/>
      <c r="E33" s="103"/>
      <c r="F33" s="103"/>
      <c r="G33" s="103"/>
      <c r="H33" s="103"/>
      <c r="I33" s="103"/>
      <c r="J33" s="58">
        <f t="shared" si="0"/>
        <v>0</v>
      </c>
      <c r="K33" s="58">
        <f t="shared" si="1"/>
        <v>0</v>
      </c>
      <c r="L33" s="58">
        <f t="shared" si="2"/>
        <v>0</v>
      </c>
      <c r="M33" s="58">
        <f t="shared" si="3"/>
        <v>0</v>
      </c>
      <c r="N33" s="58"/>
    </row>
    <row r="34" spans="1:14" x14ac:dyDescent="0.25">
      <c r="A34" s="4">
        <v>33</v>
      </c>
      <c r="B34" s="133" t="s">
        <v>526</v>
      </c>
      <c r="C34" s="134">
        <v>43282</v>
      </c>
      <c r="D34" s="103"/>
      <c r="E34" s="103"/>
      <c r="F34" s="103"/>
      <c r="G34" s="103"/>
      <c r="H34" s="103"/>
      <c r="I34" s="103"/>
      <c r="J34" s="58">
        <f t="shared" si="0"/>
        <v>0</v>
      </c>
      <c r="K34" s="58">
        <f t="shared" si="1"/>
        <v>0</v>
      </c>
      <c r="L34" s="58">
        <f t="shared" si="2"/>
        <v>0</v>
      </c>
      <c r="M34" s="58">
        <f t="shared" si="3"/>
        <v>0</v>
      </c>
      <c r="N34" s="58"/>
    </row>
    <row r="35" spans="1:14" x14ac:dyDescent="0.25">
      <c r="A35" s="4">
        <v>34</v>
      </c>
      <c r="B35" s="133" t="s">
        <v>527</v>
      </c>
      <c r="C35" s="134">
        <v>43466</v>
      </c>
      <c r="D35" s="103"/>
      <c r="E35" s="103"/>
      <c r="F35" s="103"/>
      <c r="G35" s="103"/>
      <c r="H35" s="103"/>
      <c r="I35" s="103"/>
      <c r="J35" s="58">
        <f t="shared" si="0"/>
        <v>0</v>
      </c>
      <c r="K35" s="58">
        <f t="shared" si="1"/>
        <v>0</v>
      </c>
      <c r="L35" s="58">
        <f t="shared" si="2"/>
        <v>0</v>
      </c>
      <c r="M35" s="58">
        <f t="shared" si="3"/>
        <v>0</v>
      </c>
      <c r="N35" s="58"/>
    </row>
    <row r="36" spans="1:14" x14ac:dyDescent="0.25">
      <c r="A36" s="4">
        <v>35</v>
      </c>
      <c r="B36" s="133" t="s">
        <v>528</v>
      </c>
      <c r="C36" s="134">
        <v>43497</v>
      </c>
      <c r="D36" s="103"/>
      <c r="E36" s="103"/>
      <c r="F36" s="103"/>
      <c r="G36" s="103"/>
      <c r="H36" s="103"/>
      <c r="I36" s="103"/>
      <c r="J36" s="58">
        <f t="shared" si="0"/>
        <v>0</v>
      </c>
      <c r="K36" s="58">
        <f t="shared" si="1"/>
        <v>0</v>
      </c>
      <c r="L36" s="58">
        <f t="shared" si="2"/>
        <v>0</v>
      </c>
      <c r="M36" s="58">
        <f t="shared" si="3"/>
        <v>0</v>
      </c>
      <c r="N36" s="58"/>
    </row>
    <row r="37" spans="1:14" x14ac:dyDescent="0.25">
      <c r="A37" s="4">
        <v>36</v>
      </c>
      <c r="B37" s="133" t="s">
        <v>530</v>
      </c>
      <c r="C37" s="134">
        <v>43617</v>
      </c>
      <c r="D37" s="103"/>
      <c r="E37" s="103"/>
      <c r="F37" s="103"/>
      <c r="G37" s="103"/>
      <c r="H37" s="103"/>
      <c r="I37" s="103"/>
      <c r="J37" s="58">
        <f t="shared" si="0"/>
        <v>0</v>
      </c>
      <c r="K37" s="58">
        <f t="shared" si="1"/>
        <v>0</v>
      </c>
      <c r="L37" s="58">
        <f t="shared" si="2"/>
        <v>0</v>
      </c>
      <c r="M37" s="58">
        <f t="shared" si="3"/>
        <v>0</v>
      </c>
      <c r="N37" s="58"/>
    </row>
    <row r="38" spans="1:14" x14ac:dyDescent="0.25">
      <c r="A38" s="4">
        <v>37</v>
      </c>
      <c r="B38" s="133" t="s">
        <v>531</v>
      </c>
      <c r="C38" s="134">
        <v>43617</v>
      </c>
      <c r="D38" s="103"/>
      <c r="E38" s="103"/>
      <c r="F38" s="103"/>
      <c r="G38" s="103"/>
      <c r="H38" s="103"/>
      <c r="I38" s="103"/>
      <c r="J38" s="58">
        <f t="shared" si="0"/>
        <v>0</v>
      </c>
      <c r="K38" s="58">
        <f t="shared" si="1"/>
        <v>0</v>
      </c>
      <c r="L38" s="58">
        <f t="shared" si="2"/>
        <v>0</v>
      </c>
      <c r="M38" s="58">
        <f t="shared" si="3"/>
        <v>0</v>
      </c>
      <c r="N38" s="58"/>
    </row>
    <row r="39" spans="1:14" x14ac:dyDescent="0.25">
      <c r="A39" s="4">
        <v>38</v>
      </c>
      <c r="B39" s="133" t="s">
        <v>533</v>
      </c>
      <c r="C39" s="134">
        <v>43617</v>
      </c>
      <c r="D39" s="103"/>
      <c r="E39" s="103"/>
      <c r="F39" s="103"/>
      <c r="G39" s="103"/>
      <c r="H39" s="103"/>
      <c r="I39" s="103"/>
      <c r="J39" s="58">
        <f t="shared" si="0"/>
        <v>0</v>
      </c>
      <c r="K39" s="58">
        <f t="shared" si="1"/>
        <v>0</v>
      </c>
      <c r="L39" s="58">
        <f t="shared" si="2"/>
        <v>0</v>
      </c>
      <c r="M39" s="58">
        <f t="shared" si="3"/>
        <v>0</v>
      </c>
      <c r="N39" s="58"/>
    </row>
    <row r="40" spans="1:14" x14ac:dyDescent="0.25">
      <c r="A40" s="4">
        <v>39</v>
      </c>
      <c r="B40" s="133" t="s">
        <v>278</v>
      </c>
      <c r="C40" s="134">
        <v>43739</v>
      </c>
      <c r="D40" s="103"/>
      <c r="E40" s="103"/>
      <c r="F40" s="103"/>
      <c r="G40" s="103"/>
      <c r="H40" s="103"/>
      <c r="I40" s="103"/>
      <c r="J40" s="58">
        <f t="shared" si="0"/>
        <v>0</v>
      </c>
      <c r="K40" s="58">
        <f t="shared" si="1"/>
        <v>0</v>
      </c>
      <c r="L40" s="58">
        <f t="shared" si="2"/>
        <v>0</v>
      </c>
      <c r="M40" s="58">
        <f t="shared" si="3"/>
        <v>0</v>
      </c>
      <c r="N40" s="58"/>
    </row>
    <row r="41" spans="1:14" x14ac:dyDescent="0.25">
      <c r="A41" s="4">
        <v>40</v>
      </c>
      <c r="B41" s="133" t="s">
        <v>537</v>
      </c>
      <c r="C41" s="134">
        <v>44105</v>
      </c>
      <c r="D41" s="103"/>
      <c r="E41" s="103"/>
      <c r="F41" s="103"/>
      <c r="G41" s="103"/>
      <c r="H41" s="103"/>
      <c r="I41" s="103"/>
      <c r="J41" s="58">
        <f t="shared" si="0"/>
        <v>0</v>
      </c>
      <c r="K41" s="58">
        <f t="shared" si="1"/>
        <v>0</v>
      </c>
      <c r="L41" s="58">
        <f t="shared" si="2"/>
        <v>0</v>
      </c>
      <c r="M41" s="58">
        <f t="shared" si="3"/>
        <v>0</v>
      </c>
      <c r="N41" s="58"/>
    </row>
    <row r="42" spans="1:14" x14ac:dyDescent="0.25">
      <c r="A42" s="4">
        <v>41</v>
      </c>
      <c r="B42" s="133" t="s">
        <v>292</v>
      </c>
      <c r="C42" s="134">
        <v>44166</v>
      </c>
      <c r="D42" s="103"/>
      <c r="E42" s="103"/>
      <c r="F42" s="103"/>
      <c r="G42" s="103"/>
      <c r="H42" s="103"/>
      <c r="I42" s="103"/>
      <c r="J42" s="58">
        <f>E42-D42</f>
        <v>0</v>
      </c>
      <c r="K42" s="58">
        <f t="shared" si="1"/>
        <v>0</v>
      </c>
      <c r="L42" s="58">
        <f t="shared" si="2"/>
        <v>0</v>
      </c>
      <c r="M42" s="58">
        <f t="shared" si="3"/>
        <v>0</v>
      </c>
      <c r="N42" s="58"/>
    </row>
    <row r="43" spans="1:14" x14ac:dyDescent="0.25">
      <c r="A43" s="4">
        <v>42</v>
      </c>
      <c r="B43" s="133" t="s">
        <v>538</v>
      </c>
      <c r="C43" s="134">
        <v>44166</v>
      </c>
      <c r="D43" s="103"/>
      <c r="E43" s="103"/>
      <c r="F43" s="103"/>
      <c r="G43" s="103"/>
      <c r="H43" s="103"/>
      <c r="I43" s="103"/>
      <c r="J43" s="58">
        <f t="shared" si="0"/>
        <v>0</v>
      </c>
      <c r="K43" s="58">
        <f t="shared" si="1"/>
        <v>0</v>
      </c>
      <c r="L43" s="58">
        <f t="shared" si="2"/>
        <v>0</v>
      </c>
      <c r="M43" s="58">
        <f t="shared" si="3"/>
        <v>0</v>
      </c>
      <c r="N43" s="58"/>
    </row>
    <row r="44" spans="1:14" x14ac:dyDescent="0.25">
      <c r="A44" s="4">
        <v>43</v>
      </c>
      <c r="B44" s="133" t="s">
        <v>540</v>
      </c>
      <c r="C44" s="134">
        <v>44197</v>
      </c>
      <c r="D44" s="103"/>
      <c r="E44" s="103"/>
      <c r="F44" s="103"/>
      <c r="G44" s="103"/>
      <c r="H44" s="103"/>
      <c r="I44" s="103"/>
      <c r="J44" s="58">
        <f t="shared" si="0"/>
        <v>0</v>
      </c>
      <c r="K44" s="58">
        <f t="shared" si="1"/>
        <v>0</v>
      </c>
      <c r="L44" s="58">
        <f t="shared" si="2"/>
        <v>0</v>
      </c>
      <c r="M44" s="58">
        <f t="shared" si="3"/>
        <v>0</v>
      </c>
      <c r="N44" s="58"/>
    </row>
    <row r="45" spans="1:14" x14ac:dyDescent="0.25">
      <c r="A45" s="4">
        <v>44</v>
      </c>
      <c r="B45" s="133" t="s">
        <v>541</v>
      </c>
      <c r="C45" s="134">
        <v>44197</v>
      </c>
      <c r="D45" s="103"/>
      <c r="E45" s="103"/>
      <c r="F45" s="103"/>
      <c r="G45" s="103"/>
      <c r="H45" s="103"/>
      <c r="I45" s="103"/>
      <c r="J45" s="58">
        <f t="shared" si="0"/>
        <v>0</v>
      </c>
      <c r="K45" s="58">
        <f t="shared" si="1"/>
        <v>0</v>
      </c>
      <c r="L45" s="58">
        <f t="shared" si="2"/>
        <v>0</v>
      </c>
      <c r="M45" s="58">
        <f t="shared" si="3"/>
        <v>0</v>
      </c>
      <c r="N45" s="58"/>
    </row>
    <row r="46" spans="1:14" x14ac:dyDescent="0.25">
      <c r="A46" s="4">
        <v>45</v>
      </c>
      <c r="B46" s="133" t="s">
        <v>305</v>
      </c>
      <c r="C46" s="134">
        <v>44287</v>
      </c>
      <c r="D46" s="103"/>
      <c r="E46" s="103"/>
      <c r="F46" s="103"/>
      <c r="G46" s="103"/>
      <c r="H46" s="103"/>
      <c r="I46" s="103"/>
      <c r="J46" s="58">
        <f t="shared" si="0"/>
        <v>0</v>
      </c>
      <c r="K46" s="58">
        <f t="shared" si="1"/>
        <v>0</v>
      </c>
      <c r="L46" s="58">
        <f t="shared" si="2"/>
        <v>0</v>
      </c>
      <c r="M46" s="58">
        <f t="shared" si="3"/>
        <v>0</v>
      </c>
      <c r="N46" s="58"/>
    </row>
    <row r="47" spans="1:14" x14ac:dyDescent="0.25">
      <c r="A47" s="4">
        <v>46</v>
      </c>
      <c r="B47" s="133" t="s">
        <v>308</v>
      </c>
      <c r="C47" s="134">
        <v>44378</v>
      </c>
      <c r="D47" s="103"/>
      <c r="E47" s="103"/>
      <c r="F47" s="103"/>
      <c r="G47" s="103"/>
      <c r="H47" s="103"/>
      <c r="I47" s="103"/>
      <c r="J47" s="58">
        <f t="shared" si="0"/>
        <v>0</v>
      </c>
      <c r="K47" s="58">
        <f t="shared" si="1"/>
        <v>0</v>
      </c>
      <c r="L47" s="58">
        <f t="shared" si="2"/>
        <v>0</v>
      </c>
      <c r="M47" s="58">
        <f t="shared" si="3"/>
        <v>0</v>
      </c>
      <c r="N47" s="58"/>
    </row>
    <row r="48" spans="1:14" x14ac:dyDescent="0.25">
      <c r="A48" s="4">
        <v>47</v>
      </c>
      <c r="B48" s="133" t="s">
        <v>546</v>
      </c>
      <c r="C48" s="134">
        <v>44378</v>
      </c>
      <c r="D48" s="103"/>
      <c r="E48" s="103"/>
      <c r="F48" s="103"/>
      <c r="G48" s="103"/>
      <c r="H48" s="103"/>
      <c r="I48" s="103"/>
      <c r="J48" s="58">
        <f t="shared" si="0"/>
        <v>0</v>
      </c>
      <c r="K48" s="58">
        <f t="shared" si="1"/>
        <v>0</v>
      </c>
      <c r="L48" s="58">
        <f t="shared" si="2"/>
        <v>0</v>
      </c>
      <c r="M48" s="58">
        <f t="shared" si="3"/>
        <v>0</v>
      </c>
      <c r="N48" s="58"/>
    </row>
    <row r="49" spans="1:14" x14ac:dyDescent="0.25">
      <c r="A49" s="4">
        <v>48</v>
      </c>
      <c r="B49" s="133" t="s">
        <v>547</v>
      </c>
      <c r="C49" s="134">
        <v>44409</v>
      </c>
      <c r="D49" s="103"/>
      <c r="E49" s="103"/>
      <c r="F49" s="103"/>
      <c r="G49" s="103"/>
      <c r="H49" s="103"/>
      <c r="I49" s="103"/>
      <c r="J49" s="58">
        <f t="shared" si="0"/>
        <v>0</v>
      </c>
      <c r="K49" s="58">
        <f t="shared" si="1"/>
        <v>0</v>
      </c>
      <c r="L49" s="58">
        <f t="shared" si="2"/>
        <v>0</v>
      </c>
      <c r="M49" s="58">
        <f t="shared" si="3"/>
        <v>0</v>
      </c>
      <c r="N49" s="58"/>
    </row>
    <row r="50" spans="1:14" x14ac:dyDescent="0.25">
      <c r="A50" s="4">
        <v>49</v>
      </c>
      <c r="B50" s="133" t="s">
        <v>548</v>
      </c>
      <c r="C50" s="134">
        <v>44378</v>
      </c>
      <c r="D50" s="103">
        <v>46023</v>
      </c>
      <c r="E50" s="103">
        <v>46069</v>
      </c>
      <c r="F50" s="103"/>
      <c r="G50" s="103"/>
      <c r="H50" s="103"/>
      <c r="I50" s="103"/>
      <c r="J50" s="58">
        <f t="shared" si="0"/>
        <v>46</v>
      </c>
      <c r="K50" s="58">
        <f t="shared" si="1"/>
        <v>0</v>
      </c>
      <c r="L50" s="58">
        <f t="shared" si="2"/>
        <v>0</v>
      </c>
      <c r="M50" s="58">
        <f t="shared" si="3"/>
        <v>46</v>
      </c>
      <c r="N50" s="58"/>
    </row>
    <row r="51" spans="1:14" x14ac:dyDescent="0.25">
      <c r="A51" s="4">
        <v>50</v>
      </c>
      <c r="B51" s="133" t="s">
        <v>550</v>
      </c>
      <c r="C51" s="134">
        <v>44470</v>
      </c>
      <c r="D51" s="103"/>
      <c r="E51" s="103"/>
      <c r="F51" s="103"/>
      <c r="G51" s="103"/>
      <c r="H51" s="103"/>
      <c r="I51" s="103"/>
      <c r="J51" s="58">
        <f t="shared" si="0"/>
        <v>0</v>
      </c>
      <c r="K51" s="58">
        <f t="shared" si="1"/>
        <v>0</v>
      </c>
      <c r="L51" s="58">
        <f t="shared" si="2"/>
        <v>0</v>
      </c>
      <c r="M51" s="58">
        <f t="shared" si="3"/>
        <v>0</v>
      </c>
      <c r="N51" s="58"/>
    </row>
    <row r="52" spans="1:14" x14ac:dyDescent="0.25">
      <c r="A52" s="4">
        <v>51</v>
      </c>
      <c r="B52" s="133" t="s">
        <v>551</v>
      </c>
      <c r="C52" s="134">
        <v>44470</v>
      </c>
      <c r="D52" s="103"/>
      <c r="E52" s="103"/>
      <c r="F52" s="103"/>
      <c r="G52" s="103"/>
      <c r="H52" s="103"/>
      <c r="I52" s="103"/>
      <c r="J52" s="58">
        <f t="shared" si="0"/>
        <v>0</v>
      </c>
      <c r="K52" s="58">
        <f t="shared" si="1"/>
        <v>0</v>
      </c>
      <c r="L52" s="58">
        <f t="shared" si="2"/>
        <v>0</v>
      </c>
      <c r="M52" s="58">
        <f t="shared" si="3"/>
        <v>0</v>
      </c>
      <c r="N52" s="58"/>
    </row>
    <row r="53" spans="1:14" x14ac:dyDescent="0.25">
      <c r="A53" s="4">
        <v>52</v>
      </c>
      <c r="B53" s="133" t="s">
        <v>552</v>
      </c>
      <c r="C53" s="134">
        <v>44470</v>
      </c>
      <c r="D53" s="103"/>
      <c r="E53" s="103"/>
      <c r="F53" s="103"/>
      <c r="G53" s="103"/>
      <c r="H53" s="103"/>
      <c r="I53" s="103"/>
      <c r="J53" s="58">
        <f t="shared" si="0"/>
        <v>0</v>
      </c>
      <c r="K53" s="58">
        <f t="shared" si="1"/>
        <v>0</v>
      </c>
      <c r="L53" s="58">
        <f t="shared" si="2"/>
        <v>0</v>
      </c>
      <c r="M53" s="58">
        <f t="shared" si="3"/>
        <v>0</v>
      </c>
      <c r="N53" s="58"/>
    </row>
    <row r="54" spans="1:14" x14ac:dyDescent="0.25">
      <c r="A54" s="4">
        <v>53</v>
      </c>
      <c r="B54" s="133" t="s">
        <v>553</v>
      </c>
      <c r="C54" s="134">
        <v>44470</v>
      </c>
      <c r="D54" s="103"/>
      <c r="E54" s="103"/>
      <c r="F54" s="103"/>
      <c r="G54" s="103"/>
      <c r="H54" s="103"/>
      <c r="I54" s="103"/>
      <c r="J54" s="58">
        <f t="shared" si="0"/>
        <v>0</v>
      </c>
      <c r="K54" s="58">
        <f t="shared" si="1"/>
        <v>0</v>
      </c>
      <c r="L54" s="58">
        <f t="shared" si="2"/>
        <v>0</v>
      </c>
      <c r="M54" s="58">
        <f t="shared" si="3"/>
        <v>0</v>
      </c>
      <c r="N54" s="58"/>
    </row>
    <row r="55" spans="1:14" x14ac:dyDescent="0.25">
      <c r="A55" s="4">
        <v>54</v>
      </c>
      <c r="B55" s="133" t="s">
        <v>554</v>
      </c>
      <c r="C55" s="134">
        <v>44607</v>
      </c>
      <c r="D55" s="103"/>
      <c r="E55" s="103"/>
      <c r="F55" s="103"/>
      <c r="G55" s="103"/>
      <c r="H55" s="103"/>
      <c r="I55" s="103"/>
      <c r="J55" s="58">
        <f t="shared" si="0"/>
        <v>0</v>
      </c>
      <c r="K55" s="58">
        <f t="shared" si="1"/>
        <v>0</v>
      </c>
      <c r="L55" s="58">
        <f t="shared" si="2"/>
        <v>0</v>
      </c>
      <c r="M55" s="58">
        <f t="shared" si="3"/>
        <v>0</v>
      </c>
      <c r="N55" s="58"/>
    </row>
    <row r="56" spans="1:14" x14ac:dyDescent="0.25">
      <c r="A56" s="4">
        <v>55</v>
      </c>
      <c r="B56" s="133" t="s">
        <v>555</v>
      </c>
      <c r="C56" s="134">
        <v>44593</v>
      </c>
      <c r="D56" s="103"/>
      <c r="E56" s="103"/>
      <c r="F56" s="103"/>
      <c r="G56" s="103"/>
      <c r="H56" s="103"/>
      <c r="I56" s="103"/>
      <c r="J56" s="58">
        <f t="shared" si="0"/>
        <v>0</v>
      </c>
      <c r="K56" s="58">
        <f t="shared" si="1"/>
        <v>0</v>
      </c>
      <c r="L56" s="58">
        <f t="shared" si="2"/>
        <v>0</v>
      </c>
      <c r="M56" s="58">
        <f t="shared" si="3"/>
        <v>0</v>
      </c>
      <c r="N56" s="58"/>
    </row>
    <row r="57" spans="1:14" x14ac:dyDescent="0.25">
      <c r="A57" s="4">
        <v>56</v>
      </c>
      <c r="B57" s="133" t="s">
        <v>557</v>
      </c>
      <c r="C57" s="134">
        <v>44652</v>
      </c>
      <c r="D57" s="103"/>
      <c r="E57" s="103"/>
      <c r="F57" s="103"/>
      <c r="G57" s="103"/>
      <c r="H57" s="103"/>
      <c r="I57" s="103"/>
      <c r="J57" s="58">
        <f t="shared" si="0"/>
        <v>0</v>
      </c>
      <c r="K57" s="58">
        <f t="shared" si="1"/>
        <v>0</v>
      </c>
      <c r="L57" s="58">
        <f t="shared" si="2"/>
        <v>0</v>
      </c>
      <c r="M57" s="58">
        <f t="shared" si="3"/>
        <v>0</v>
      </c>
      <c r="N57" s="58"/>
    </row>
    <row r="58" spans="1:14" x14ac:dyDescent="0.25">
      <c r="A58" s="4">
        <v>57</v>
      </c>
      <c r="B58" s="133" t="s">
        <v>559</v>
      </c>
      <c r="C58" s="134">
        <v>44652</v>
      </c>
      <c r="D58" s="103">
        <v>46030</v>
      </c>
      <c r="E58" s="103">
        <v>46053</v>
      </c>
      <c r="F58" s="103"/>
      <c r="G58" s="103"/>
      <c r="H58" s="103"/>
      <c r="I58" s="103"/>
      <c r="J58" s="58">
        <f t="shared" si="0"/>
        <v>23</v>
      </c>
      <c r="K58" s="58">
        <f t="shared" si="1"/>
        <v>0</v>
      </c>
      <c r="L58" s="58">
        <f t="shared" si="2"/>
        <v>0</v>
      </c>
      <c r="M58" s="58">
        <f t="shared" si="3"/>
        <v>23</v>
      </c>
      <c r="N58" s="58"/>
    </row>
    <row r="59" spans="1:14" x14ac:dyDescent="0.25">
      <c r="A59" s="4">
        <v>58</v>
      </c>
      <c r="B59" s="133" t="s">
        <v>560</v>
      </c>
      <c r="C59" s="134">
        <v>44652</v>
      </c>
      <c r="D59" s="103"/>
      <c r="E59" s="103"/>
      <c r="F59" s="103"/>
      <c r="G59" s="103"/>
      <c r="H59" s="103"/>
      <c r="I59" s="103"/>
      <c r="J59" s="58">
        <f t="shared" si="0"/>
        <v>0</v>
      </c>
      <c r="K59" s="58">
        <f t="shared" si="1"/>
        <v>0</v>
      </c>
      <c r="L59" s="58">
        <f t="shared" si="2"/>
        <v>0</v>
      </c>
      <c r="M59" s="58">
        <f t="shared" si="3"/>
        <v>0</v>
      </c>
      <c r="N59" s="58"/>
    </row>
    <row r="60" spans="1:14" x14ac:dyDescent="0.25">
      <c r="A60" s="4">
        <v>59</v>
      </c>
      <c r="B60" s="133" t="s">
        <v>562</v>
      </c>
      <c r="C60" s="134">
        <v>44652</v>
      </c>
      <c r="D60" s="103"/>
      <c r="E60" s="103"/>
      <c r="F60" s="103"/>
      <c r="G60" s="103"/>
      <c r="H60" s="103"/>
      <c r="I60" s="103"/>
      <c r="J60" s="58">
        <f t="shared" si="0"/>
        <v>0</v>
      </c>
      <c r="K60" s="58">
        <f t="shared" si="1"/>
        <v>0</v>
      </c>
      <c r="L60" s="58">
        <f t="shared" si="2"/>
        <v>0</v>
      </c>
      <c r="M60" s="58">
        <f t="shared" si="3"/>
        <v>0</v>
      </c>
      <c r="N60" s="58"/>
    </row>
    <row r="61" spans="1:14" x14ac:dyDescent="0.25">
      <c r="A61" s="4">
        <v>60</v>
      </c>
      <c r="B61" s="133" t="s">
        <v>338</v>
      </c>
      <c r="C61" s="134">
        <v>44734</v>
      </c>
      <c r="D61" s="103"/>
      <c r="E61" s="103"/>
      <c r="F61" s="103"/>
      <c r="G61" s="103"/>
      <c r="H61" s="103"/>
      <c r="I61" s="103"/>
      <c r="J61" s="58">
        <f t="shared" si="0"/>
        <v>0</v>
      </c>
      <c r="K61" s="58">
        <f t="shared" si="1"/>
        <v>0</v>
      </c>
      <c r="L61" s="58">
        <f t="shared" si="2"/>
        <v>0</v>
      </c>
      <c r="M61" s="58">
        <f t="shared" si="3"/>
        <v>0</v>
      </c>
      <c r="N61" s="58"/>
    </row>
    <row r="62" spans="1:14" x14ac:dyDescent="0.25">
      <c r="A62" s="4">
        <v>61</v>
      </c>
      <c r="B62" s="133" t="s">
        <v>565</v>
      </c>
      <c r="C62" s="134">
        <v>44682</v>
      </c>
      <c r="D62" s="103"/>
      <c r="E62" s="103"/>
      <c r="F62" s="103"/>
      <c r="G62" s="103"/>
      <c r="H62" s="103"/>
      <c r="I62" s="103"/>
      <c r="J62" s="58">
        <v>0</v>
      </c>
      <c r="K62" s="58">
        <f t="shared" si="1"/>
        <v>0</v>
      </c>
      <c r="L62" s="58">
        <f t="shared" si="2"/>
        <v>0</v>
      </c>
      <c r="M62" s="58">
        <v>0</v>
      </c>
      <c r="N62" s="58"/>
    </row>
    <row r="63" spans="1:14" x14ac:dyDescent="0.25">
      <c r="A63" s="4">
        <v>62</v>
      </c>
      <c r="B63" s="133" t="s">
        <v>136</v>
      </c>
      <c r="C63" s="134">
        <v>44805</v>
      </c>
      <c r="F63" s="103"/>
      <c r="G63" s="103"/>
      <c r="H63" s="103"/>
      <c r="I63" s="103"/>
      <c r="J63" s="58">
        <f>E62-D62</f>
        <v>0</v>
      </c>
      <c r="K63" s="58">
        <f t="shared" si="1"/>
        <v>0</v>
      </c>
      <c r="L63" s="58">
        <f t="shared" si="2"/>
        <v>0</v>
      </c>
      <c r="M63" s="58">
        <f t="shared" ref="M63:M126" si="4">J63+K63+L63</f>
        <v>0</v>
      </c>
      <c r="N63" s="58"/>
    </row>
    <row r="64" spans="1:14" x14ac:dyDescent="0.25">
      <c r="A64" s="4">
        <v>63</v>
      </c>
      <c r="B64" s="133" t="s">
        <v>351</v>
      </c>
      <c r="C64" s="134">
        <v>44513</v>
      </c>
      <c r="D64" s="103"/>
      <c r="E64" s="103"/>
      <c r="F64" s="103"/>
      <c r="G64" s="103"/>
      <c r="H64" s="103"/>
      <c r="I64" s="103"/>
      <c r="J64" s="58">
        <f t="shared" si="0"/>
        <v>0</v>
      </c>
      <c r="K64" s="58">
        <f t="shared" si="1"/>
        <v>0</v>
      </c>
      <c r="L64" s="58">
        <f t="shared" si="2"/>
        <v>0</v>
      </c>
      <c r="M64" s="58">
        <f t="shared" si="4"/>
        <v>0</v>
      </c>
      <c r="N64" s="58"/>
    </row>
    <row r="65" spans="1:14" x14ac:dyDescent="0.25">
      <c r="A65" s="4">
        <v>64</v>
      </c>
      <c r="B65" s="133" t="s">
        <v>486</v>
      </c>
      <c r="C65" s="134">
        <v>44893</v>
      </c>
      <c r="D65" s="103"/>
      <c r="E65" s="103"/>
      <c r="F65" s="103"/>
      <c r="G65" s="103"/>
      <c r="H65" s="103"/>
      <c r="I65" s="103"/>
      <c r="J65" s="58">
        <f t="shared" si="0"/>
        <v>0</v>
      </c>
      <c r="K65" s="58">
        <f t="shared" si="1"/>
        <v>0</v>
      </c>
      <c r="L65" s="58">
        <f t="shared" si="2"/>
        <v>0</v>
      </c>
      <c r="M65" s="58">
        <f t="shared" si="4"/>
        <v>0</v>
      </c>
      <c r="N65" s="58"/>
    </row>
    <row r="66" spans="1:14" x14ac:dyDescent="0.25">
      <c r="A66" s="4">
        <v>65</v>
      </c>
      <c r="B66" s="133" t="s">
        <v>485</v>
      </c>
      <c r="C66" s="134">
        <v>44893</v>
      </c>
      <c r="D66" s="103"/>
      <c r="E66" s="103"/>
      <c r="F66" s="103"/>
      <c r="G66" s="103"/>
      <c r="H66" s="103"/>
      <c r="I66" s="103"/>
      <c r="J66" s="58">
        <f t="shared" ref="J66:J129" si="5">E66-D66</f>
        <v>0</v>
      </c>
      <c r="K66" s="58">
        <f t="shared" si="1"/>
        <v>0</v>
      </c>
      <c r="L66" s="58">
        <f t="shared" si="2"/>
        <v>0</v>
      </c>
      <c r="M66" s="58">
        <f t="shared" si="4"/>
        <v>0</v>
      </c>
      <c r="N66" s="58"/>
    </row>
    <row r="67" spans="1:14" x14ac:dyDescent="0.25">
      <c r="A67" s="4">
        <v>66</v>
      </c>
      <c r="B67" s="133" t="s">
        <v>606</v>
      </c>
      <c r="C67" s="134">
        <v>44938</v>
      </c>
      <c r="D67" s="103"/>
      <c r="E67" s="103"/>
      <c r="F67" s="103"/>
      <c r="G67" s="103"/>
      <c r="H67" s="103"/>
      <c r="I67" s="103"/>
      <c r="J67" s="58">
        <f t="shared" si="5"/>
        <v>0</v>
      </c>
      <c r="K67" s="58">
        <f t="shared" ref="K67:K130" si="6">G67-F67</f>
        <v>0</v>
      </c>
      <c r="L67" s="58">
        <f t="shared" ref="L67:L130" si="7">I67-H67</f>
        <v>0</v>
      </c>
      <c r="M67" s="58">
        <f t="shared" si="4"/>
        <v>0</v>
      </c>
      <c r="N67" s="58"/>
    </row>
    <row r="68" spans="1:14" x14ac:dyDescent="0.25">
      <c r="A68" s="4">
        <v>67</v>
      </c>
      <c r="B68" s="133" t="s">
        <v>605</v>
      </c>
      <c r="C68" s="134">
        <v>44900</v>
      </c>
      <c r="D68" s="103"/>
      <c r="E68" s="103"/>
      <c r="F68" s="103"/>
      <c r="G68" s="103"/>
      <c r="H68" s="103"/>
      <c r="I68" s="103"/>
      <c r="J68" s="58">
        <f t="shared" si="5"/>
        <v>0</v>
      </c>
      <c r="K68" s="58">
        <f t="shared" si="6"/>
        <v>0</v>
      </c>
      <c r="L68" s="58">
        <f t="shared" si="7"/>
        <v>0</v>
      </c>
      <c r="M68" s="58">
        <f t="shared" si="4"/>
        <v>0</v>
      </c>
      <c r="N68" s="58"/>
    </row>
    <row r="69" spans="1:14" x14ac:dyDescent="0.25">
      <c r="A69" s="4">
        <v>68</v>
      </c>
      <c r="B69" s="133" t="s">
        <v>615</v>
      </c>
      <c r="C69" s="115">
        <v>44967</v>
      </c>
      <c r="D69" s="103"/>
      <c r="E69" s="103"/>
      <c r="F69" s="103"/>
      <c r="G69" s="103"/>
      <c r="H69" s="103"/>
      <c r="I69" s="103"/>
      <c r="J69" s="58">
        <f t="shared" si="5"/>
        <v>0</v>
      </c>
      <c r="K69" s="58">
        <f t="shared" si="6"/>
        <v>0</v>
      </c>
      <c r="L69" s="58">
        <f t="shared" si="7"/>
        <v>0</v>
      </c>
      <c r="M69" s="58">
        <f t="shared" si="4"/>
        <v>0</v>
      </c>
      <c r="N69" s="58"/>
    </row>
    <row r="70" spans="1:14" x14ac:dyDescent="0.25">
      <c r="A70" s="4">
        <v>69</v>
      </c>
      <c r="B70" s="133" t="s">
        <v>617</v>
      </c>
      <c r="C70" s="115">
        <v>45024</v>
      </c>
      <c r="D70" s="103"/>
      <c r="E70" s="103"/>
      <c r="F70" s="103"/>
      <c r="G70" s="103"/>
      <c r="H70" s="103"/>
      <c r="I70" s="103"/>
      <c r="J70" s="58">
        <f t="shared" si="5"/>
        <v>0</v>
      </c>
      <c r="K70" s="58">
        <f t="shared" si="6"/>
        <v>0</v>
      </c>
      <c r="L70" s="58">
        <f t="shared" si="7"/>
        <v>0</v>
      </c>
      <c r="M70" s="58">
        <f t="shared" si="4"/>
        <v>0</v>
      </c>
      <c r="N70" s="58"/>
    </row>
    <row r="71" spans="1:14" x14ac:dyDescent="0.25">
      <c r="A71" s="4">
        <v>70</v>
      </c>
      <c r="B71" s="133" t="s">
        <v>618</v>
      </c>
      <c r="C71" s="115">
        <v>45031</v>
      </c>
      <c r="D71" s="103"/>
      <c r="E71" s="103"/>
      <c r="F71" s="103"/>
      <c r="G71" s="103"/>
      <c r="H71" s="103"/>
      <c r="I71" s="103"/>
      <c r="J71" s="58">
        <f t="shared" si="5"/>
        <v>0</v>
      </c>
      <c r="K71" s="58">
        <f t="shared" si="6"/>
        <v>0</v>
      </c>
      <c r="L71" s="58">
        <f t="shared" si="7"/>
        <v>0</v>
      </c>
      <c r="M71" s="58">
        <f t="shared" si="4"/>
        <v>0</v>
      </c>
      <c r="N71" s="58"/>
    </row>
    <row r="72" spans="1:14" x14ac:dyDescent="0.25">
      <c r="A72" s="4">
        <v>71</v>
      </c>
      <c r="B72" s="133" t="s">
        <v>619</v>
      </c>
      <c r="C72" s="115">
        <v>45045</v>
      </c>
      <c r="D72" s="103"/>
      <c r="E72" s="103"/>
      <c r="F72" s="103"/>
      <c r="G72" s="103"/>
      <c r="H72" s="103"/>
      <c r="I72" s="103"/>
      <c r="J72" s="58">
        <f t="shared" si="5"/>
        <v>0</v>
      </c>
      <c r="K72" s="58">
        <f t="shared" si="6"/>
        <v>0</v>
      </c>
      <c r="L72" s="58">
        <f t="shared" si="7"/>
        <v>0</v>
      </c>
      <c r="M72" s="58">
        <f t="shared" si="4"/>
        <v>0</v>
      </c>
      <c r="N72" s="58"/>
    </row>
    <row r="73" spans="1:14" x14ac:dyDescent="0.25">
      <c r="A73" s="4">
        <v>72</v>
      </c>
      <c r="B73" s="133" t="s">
        <v>623</v>
      </c>
      <c r="C73" s="115">
        <v>45105</v>
      </c>
      <c r="D73" s="103"/>
      <c r="E73" s="103"/>
      <c r="F73" s="103"/>
      <c r="G73" s="103"/>
      <c r="H73" s="103"/>
      <c r="I73" s="103"/>
      <c r="J73" s="58">
        <f t="shared" si="5"/>
        <v>0</v>
      </c>
      <c r="K73" s="58">
        <f t="shared" si="6"/>
        <v>0</v>
      </c>
      <c r="L73" s="58">
        <f t="shared" si="7"/>
        <v>0</v>
      </c>
      <c r="M73" s="58">
        <f t="shared" si="4"/>
        <v>0</v>
      </c>
      <c r="N73" s="58"/>
    </row>
    <row r="74" spans="1:14" x14ac:dyDescent="0.25">
      <c r="A74" s="4">
        <v>73</v>
      </c>
      <c r="B74" s="133" t="s">
        <v>635</v>
      </c>
      <c r="C74" s="115">
        <v>45110</v>
      </c>
      <c r="D74" s="103"/>
      <c r="E74" s="103"/>
      <c r="F74" s="103"/>
      <c r="G74" s="103"/>
      <c r="H74" s="103"/>
      <c r="I74" s="103"/>
      <c r="J74" s="58">
        <f t="shared" si="5"/>
        <v>0</v>
      </c>
      <c r="K74" s="58">
        <f t="shared" si="6"/>
        <v>0</v>
      </c>
      <c r="L74" s="58">
        <f t="shared" si="7"/>
        <v>0</v>
      </c>
      <c r="M74" s="58">
        <f t="shared" si="4"/>
        <v>0</v>
      </c>
      <c r="N74" s="58"/>
    </row>
    <row r="75" spans="1:14" x14ac:dyDescent="0.25">
      <c r="A75" s="4">
        <v>74</v>
      </c>
      <c r="B75" s="133" t="s">
        <v>622</v>
      </c>
      <c r="C75" s="115">
        <v>45104</v>
      </c>
      <c r="D75" s="103"/>
      <c r="E75" s="103"/>
      <c r="F75" s="103"/>
      <c r="G75" s="103"/>
      <c r="H75" s="103"/>
      <c r="I75" s="103"/>
      <c r="J75" s="58">
        <f t="shared" si="5"/>
        <v>0</v>
      </c>
      <c r="K75" s="58">
        <f t="shared" si="6"/>
        <v>0</v>
      </c>
      <c r="L75" s="58">
        <f t="shared" si="7"/>
        <v>0</v>
      </c>
      <c r="M75" s="58">
        <f t="shared" si="4"/>
        <v>0</v>
      </c>
      <c r="N75" s="58"/>
    </row>
    <row r="76" spans="1:14" x14ac:dyDescent="0.25">
      <c r="A76" s="4">
        <v>75</v>
      </c>
      <c r="B76" s="133" t="s">
        <v>639</v>
      </c>
      <c r="C76" s="115">
        <v>45159</v>
      </c>
      <c r="D76" s="103">
        <v>46023</v>
      </c>
      <c r="E76" s="103">
        <v>46053</v>
      </c>
      <c r="F76" s="103"/>
      <c r="G76" s="103"/>
      <c r="H76" s="103"/>
      <c r="I76" s="103"/>
      <c r="J76" s="58">
        <f t="shared" si="5"/>
        <v>30</v>
      </c>
      <c r="K76" s="58">
        <f t="shared" si="6"/>
        <v>0</v>
      </c>
      <c r="L76" s="58">
        <f t="shared" si="7"/>
        <v>0</v>
      </c>
      <c r="M76" s="58">
        <f t="shared" si="4"/>
        <v>30</v>
      </c>
      <c r="N76" s="58"/>
    </row>
    <row r="77" spans="1:14" x14ac:dyDescent="0.25">
      <c r="A77" s="4">
        <v>76</v>
      </c>
      <c r="B77" s="133" t="s">
        <v>638</v>
      </c>
      <c r="C77" s="115">
        <v>45155</v>
      </c>
      <c r="D77" s="103">
        <v>46023</v>
      </c>
      <c r="E77" s="103">
        <v>46030</v>
      </c>
      <c r="F77" s="103"/>
      <c r="G77" s="103"/>
      <c r="H77" s="103"/>
      <c r="I77" s="103"/>
      <c r="J77" s="58">
        <f t="shared" si="5"/>
        <v>7</v>
      </c>
      <c r="K77" s="58">
        <f t="shared" si="6"/>
        <v>0</v>
      </c>
      <c r="L77" s="58">
        <f t="shared" si="7"/>
        <v>0</v>
      </c>
      <c r="M77" s="58">
        <f t="shared" si="4"/>
        <v>7</v>
      </c>
      <c r="N77" s="58"/>
    </row>
    <row r="78" spans="1:14" x14ac:dyDescent="0.25">
      <c r="A78" s="4">
        <v>77</v>
      </c>
      <c r="B78" s="133" t="s">
        <v>646</v>
      </c>
      <c r="C78" s="115">
        <v>45224</v>
      </c>
      <c r="D78" s="103"/>
      <c r="E78" s="103"/>
      <c r="F78" s="103"/>
      <c r="G78" s="103"/>
      <c r="H78" s="103"/>
      <c r="I78" s="103"/>
      <c r="J78" s="58">
        <f t="shared" si="5"/>
        <v>0</v>
      </c>
      <c r="K78" s="58">
        <f t="shared" si="6"/>
        <v>0</v>
      </c>
      <c r="L78" s="58">
        <f t="shared" si="7"/>
        <v>0</v>
      </c>
      <c r="M78" s="58">
        <f t="shared" si="4"/>
        <v>0</v>
      </c>
      <c r="N78" s="58"/>
    </row>
    <row r="79" spans="1:14" x14ac:dyDescent="0.25">
      <c r="A79" s="4">
        <v>78</v>
      </c>
      <c r="B79" s="6" t="s">
        <v>692</v>
      </c>
      <c r="C79" s="115">
        <v>45224</v>
      </c>
      <c r="D79" s="103"/>
      <c r="E79" s="103"/>
      <c r="F79" s="103"/>
      <c r="G79" s="103"/>
      <c r="H79" s="103"/>
      <c r="I79" s="103"/>
      <c r="J79" s="58">
        <f t="shared" si="5"/>
        <v>0</v>
      </c>
      <c r="K79" s="58">
        <f t="shared" si="6"/>
        <v>0</v>
      </c>
      <c r="L79" s="58">
        <f t="shared" si="7"/>
        <v>0</v>
      </c>
      <c r="M79" s="58">
        <f t="shared" si="4"/>
        <v>0</v>
      </c>
      <c r="N79" s="58"/>
    </row>
    <row r="80" spans="1:14" x14ac:dyDescent="0.25">
      <c r="A80" s="4">
        <v>79</v>
      </c>
      <c r="B80" s="133" t="s">
        <v>651</v>
      </c>
      <c r="C80" s="115">
        <v>45261</v>
      </c>
      <c r="D80" s="103"/>
      <c r="E80" s="103"/>
      <c r="F80" s="103"/>
      <c r="G80" s="103"/>
      <c r="H80" s="103"/>
      <c r="I80" s="103"/>
      <c r="J80" s="58">
        <f t="shared" si="5"/>
        <v>0</v>
      </c>
      <c r="K80" s="58">
        <f t="shared" si="6"/>
        <v>0</v>
      </c>
      <c r="L80" s="58">
        <f t="shared" si="7"/>
        <v>0</v>
      </c>
      <c r="M80" s="58">
        <f t="shared" si="4"/>
        <v>0</v>
      </c>
      <c r="N80" s="58"/>
    </row>
    <row r="81" spans="1:14" x14ac:dyDescent="0.25">
      <c r="A81" s="4">
        <v>80</v>
      </c>
      <c r="B81" s="133" t="s">
        <v>649</v>
      </c>
      <c r="C81" s="115">
        <v>45253</v>
      </c>
      <c r="D81" s="103"/>
      <c r="E81" s="103"/>
      <c r="F81" s="103"/>
      <c r="G81" s="103"/>
      <c r="H81" s="103"/>
      <c r="I81" s="103"/>
      <c r="J81" s="58">
        <f t="shared" si="5"/>
        <v>0</v>
      </c>
      <c r="K81" s="58">
        <f t="shared" si="6"/>
        <v>0</v>
      </c>
      <c r="L81" s="58">
        <f t="shared" si="7"/>
        <v>0</v>
      </c>
      <c r="M81" s="58">
        <f t="shared" si="4"/>
        <v>0</v>
      </c>
      <c r="N81" s="58"/>
    </row>
    <row r="82" spans="1:14" x14ac:dyDescent="0.25">
      <c r="A82" s="4">
        <v>81</v>
      </c>
      <c r="B82" s="133" t="s">
        <v>650</v>
      </c>
      <c r="C82" s="115">
        <v>45261</v>
      </c>
      <c r="D82" s="103"/>
      <c r="E82" s="103"/>
      <c r="F82" s="103"/>
      <c r="G82" s="103"/>
      <c r="H82" s="103"/>
      <c r="I82" s="103"/>
      <c r="J82" s="58">
        <f t="shared" si="5"/>
        <v>0</v>
      </c>
      <c r="K82" s="58">
        <f t="shared" si="6"/>
        <v>0</v>
      </c>
      <c r="L82" s="58">
        <f t="shared" si="7"/>
        <v>0</v>
      </c>
      <c r="M82" s="58">
        <f t="shared" si="4"/>
        <v>0</v>
      </c>
      <c r="N82" s="58"/>
    </row>
    <row r="83" spans="1:14" x14ac:dyDescent="0.25">
      <c r="A83" s="4">
        <v>82</v>
      </c>
      <c r="B83" s="133" t="s">
        <v>656</v>
      </c>
      <c r="C83" s="115">
        <v>45330</v>
      </c>
      <c r="D83" s="103"/>
      <c r="E83" s="103"/>
      <c r="F83" s="103"/>
      <c r="G83" s="103"/>
      <c r="H83" s="103"/>
      <c r="I83" s="103"/>
      <c r="J83" s="58">
        <f t="shared" si="5"/>
        <v>0</v>
      </c>
      <c r="K83" s="58">
        <f t="shared" si="6"/>
        <v>0</v>
      </c>
      <c r="L83" s="58">
        <f t="shared" si="7"/>
        <v>0</v>
      </c>
      <c r="M83" s="58">
        <f t="shared" si="4"/>
        <v>0</v>
      </c>
      <c r="N83" s="58"/>
    </row>
    <row r="84" spans="1:14" x14ac:dyDescent="0.25">
      <c r="A84" s="4">
        <v>83</v>
      </c>
      <c r="B84" s="133" t="s">
        <v>687</v>
      </c>
      <c r="C84" s="115">
        <v>45329</v>
      </c>
      <c r="D84" s="103"/>
      <c r="E84" s="103"/>
      <c r="F84" s="103"/>
      <c r="G84" s="103"/>
      <c r="H84" s="103"/>
      <c r="I84" s="103"/>
      <c r="J84" s="58">
        <f t="shared" si="5"/>
        <v>0</v>
      </c>
      <c r="K84" s="58">
        <f t="shared" si="6"/>
        <v>0</v>
      </c>
      <c r="L84" s="58">
        <f t="shared" si="7"/>
        <v>0</v>
      </c>
      <c r="M84" s="58">
        <f t="shared" si="4"/>
        <v>0</v>
      </c>
      <c r="N84" s="58"/>
    </row>
    <row r="85" spans="1:14" x14ac:dyDescent="0.25">
      <c r="A85" s="4">
        <v>84</v>
      </c>
      <c r="B85" s="133" t="s">
        <v>654</v>
      </c>
      <c r="C85" s="115">
        <v>45324</v>
      </c>
      <c r="D85" s="103"/>
      <c r="E85" s="103"/>
      <c r="F85" s="103"/>
      <c r="G85" s="103"/>
      <c r="H85" s="103"/>
      <c r="I85" s="103"/>
      <c r="J85" s="58">
        <f t="shared" si="5"/>
        <v>0</v>
      </c>
      <c r="K85" s="58">
        <f t="shared" si="6"/>
        <v>0</v>
      </c>
      <c r="L85" s="58">
        <f t="shared" si="7"/>
        <v>0</v>
      </c>
      <c r="M85" s="58">
        <f t="shared" si="4"/>
        <v>0</v>
      </c>
      <c r="N85" s="58"/>
    </row>
    <row r="86" spans="1:14" x14ac:dyDescent="0.25">
      <c r="A86" s="4">
        <v>85</v>
      </c>
      <c r="B86" s="133" t="s">
        <v>659</v>
      </c>
      <c r="C86" s="115">
        <v>45362</v>
      </c>
      <c r="D86" s="103"/>
      <c r="E86" s="103"/>
      <c r="F86" s="103"/>
      <c r="G86" s="103"/>
      <c r="H86" s="103"/>
      <c r="I86" s="103"/>
      <c r="J86" s="58">
        <f t="shared" si="5"/>
        <v>0</v>
      </c>
      <c r="K86" s="58">
        <f t="shared" si="6"/>
        <v>0</v>
      </c>
      <c r="L86" s="58">
        <f t="shared" si="7"/>
        <v>0</v>
      </c>
      <c r="M86" s="58">
        <f t="shared" si="4"/>
        <v>0</v>
      </c>
      <c r="N86" s="58"/>
    </row>
    <row r="87" spans="1:14" x14ac:dyDescent="0.25">
      <c r="A87" s="4">
        <v>86</v>
      </c>
      <c r="B87" s="133" t="s">
        <v>661</v>
      </c>
      <c r="C87" s="115">
        <v>45371</v>
      </c>
      <c r="D87" s="103"/>
      <c r="E87" s="103"/>
      <c r="F87" s="103"/>
      <c r="G87" s="103"/>
      <c r="H87" s="103"/>
      <c r="I87" s="103"/>
      <c r="J87" s="58">
        <f t="shared" si="5"/>
        <v>0</v>
      </c>
      <c r="K87" s="58">
        <f t="shared" si="6"/>
        <v>0</v>
      </c>
      <c r="L87" s="58">
        <f t="shared" si="7"/>
        <v>0</v>
      </c>
      <c r="M87" s="58">
        <f t="shared" si="4"/>
        <v>0</v>
      </c>
      <c r="N87" s="58"/>
    </row>
    <row r="88" spans="1:14" x14ac:dyDescent="0.25">
      <c r="A88" s="4">
        <v>87</v>
      </c>
      <c r="B88" s="133" t="s">
        <v>657</v>
      </c>
      <c r="C88" s="115">
        <v>45357</v>
      </c>
      <c r="D88" s="103"/>
      <c r="E88" s="103"/>
      <c r="F88" s="103"/>
      <c r="G88" s="103"/>
      <c r="H88" s="103"/>
      <c r="I88" s="103"/>
      <c r="J88" s="58">
        <f t="shared" si="5"/>
        <v>0</v>
      </c>
      <c r="K88" s="58">
        <f t="shared" si="6"/>
        <v>0</v>
      </c>
      <c r="L88" s="58">
        <f t="shared" si="7"/>
        <v>0</v>
      </c>
      <c r="M88" s="58">
        <f t="shared" si="4"/>
        <v>0</v>
      </c>
      <c r="N88" s="58"/>
    </row>
    <row r="89" spans="1:14" x14ac:dyDescent="0.25">
      <c r="A89" s="4">
        <v>88</v>
      </c>
      <c r="B89" s="133" t="s">
        <v>678</v>
      </c>
      <c r="C89" s="115">
        <v>45434</v>
      </c>
      <c r="D89" s="103"/>
      <c r="E89" s="103"/>
      <c r="F89" s="103"/>
      <c r="G89" s="103"/>
      <c r="H89" s="103"/>
      <c r="I89" s="103"/>
      <c r="J89" s="58">
        <f t="shared" si="5"/>
        <v>0</v>
      </c>
      <c r="K89" s="58">
        <f t="shared" si="6"/>
        <v>0</v>
      </c>
      <c r="L89" s="58">
        <f t="shared" si="7"/>
        <v>0</v>
      </c>
      <c r="M89" s="58">
        <f t="shared" si="4"/>
        <v>0</v>
      </c>
      <c r="N89" s="58"/>
    </row>
    <row r="90" spans="1:14" x14ac:dyDescent="0.25">
      <c r="A90" s="4">
        <v>89</v>
      </c>
      <c r="B90" s="133" t="s">
        <v>658</v>
      </c>
      <c r="C90" s="115">
        <v>45360</v>
      </c>
      <c r="D90" s="103"/>
      <c r="E90" s="103"/>
      <c r="F90" s="103"/>
      <c r="G90" s="103"/>
      <c r="H90" s="103"/>
      <c r="I90" s="103"/>
      <c r="J90" s="58">
        <f t="shared" si="5"/>
        <v>0</v>
      </c>
      <c r="K90" s="58">
        <f t="shared" si="6"/>
        <v>0</v>
      </c>
      <c r="L90" s="58">
        <f t="shared" si="7"/>
        <v>0</v>
      </c>
      <c r="M90" s="58">
        <f t="shared" si="4"/>
        <v>0</v>
      </c>
      <c r="N90" s="58"/>
    </row>
    <row r="91" spans="1:14" x14ac:dyDescent="0.25">
      <c r="A91" s="4">
        <v>90</v>
      </c>
      <c r="B91" s="133" t="s">
        <v>677</v>
      </c>
      <c r="C91" s="115">
        <v>45432</v>
      </c>
      <c r="D91" s="103"/>
      <c r="E91" s="103"/>
      <c r="F91" s="103"/>
      <c r="G91" s="103"/>
      <c r="H91" s="103"/>
      <c r="I91" s="103"/>
      <c r="J91" s="58">
        <f t="shared" si="5"/>
        <v>0</v>
      </c>
      <c r="K91" s="58">
        <f t="shared" si="6"/>
        <v>0</v>
      </c>
      <c r="L91" s="58">
        <f t="shared" si="7"/>
        <v>0</v>
      </c>
      <c r="M91" s="58">
        <f t="shared" si="4"/>
        <v>0</v>
      </c>
      <c r="N91" s="58"/>
    </row>
    <row r="92" spans="1:14" x14ac:dyDescent="0.25">
      <c r="A92" s="4">
        <v>91</v>
      </c>
      <c r="B92" s="6" t="s">
        <v>693</v>
      </c>
      <c r="C92" s="115">
        <v>45448</v>
      </c>
      <c r="D92" s="134"/>
      <c r="E92" s="103"/>
      <c r="F92" s="103"/>
      <c r="G92" s="103"/>
      <c r="H92" s="103"/>
      <c r="I92" s="103"/>
      <c r="J92" s="58">
        <v>0</v>
      </c>
      <c r="K92" s="58">
        <f t="shared" si="6"/>
        <v>0</v>
      </c>
      <c r="L92" s="58">
        <f t="shared" si="7"/>
        <v>0</v>
      </c>
      <c r="M92" s="58">
        <v>0</v>
      </c>
      <c r="N92" s="58"/>
    </row>
    <row r="93" spans="1:14" x14ac:dyDescent="0.25">
      <c r="A93" s="4">
        <v>92</v>
      </c>
      <c r="B93" s="133" t="s">
        <v>679</v>
      </c>
      <c r="C93" s="115">
        <v>45421</v>
      </c>
      <c r="D93" s="103"/>
      <c r="E93" s="103"/>
      <c r="F93" s="103"/>
      <c r="G93" s="103"/>
      <c r="H93" s="103"/>
      <c r="I93" s="103"/>
      <c r="J93" s="58">
        <f t="shared" si="5"/>
        <v>0</v>
      </c>
      <c r="K93" s="58">
        <f t="shared" si="6"/>
        <v>0</v>
      </c>
      <c r="L93" s="58">
        <f t="shared" si="7"/>
        <v>0</v>
      </c>
      <c r="M93" s="58">
        <f t="shared" si="4"/>
        <v>0</v>
      </c>
      <c r="N93" s="58"/>
    </row>
    <row r="94" spans="1:14" x14ac:dyDescent="0.25">
      <c r="A94" s="4">
        <v>93</v>
      </c>
      <c r="B94" s="6" t="s">
        <v>694</v>
      </c>
      <c r="C94" s="134">
        <v>45560</v>
      </c>
      <c r="D94" s="103"/>
      <c r="E94" s="103"/>
      <c r="F94" s="103"/>
      <c r="G94" s="103"/>
      <c r="H94" s="103"/>
      <c r="I94" s="103"/>
      <c r="J94" s="58">
        <f t="shared" si="5"/>
        <v>0</v>
      </c>
      <c r="K94" s="58">
        <f t="shared" si="6"/>
        <v>0</v>
      </c>
      <c r="L94" s="58">
        <f t="shared" si="7"/>
        <v>0</v>
      </c>
      <c r="M94" s="58">
        <f t="shared" si="4"/>
        <v>0</v>
      </c>
      <c r="N94" s="58"/>
    </row>
    <row r="95" spans="1:14" x14ac:dyDescent="0.25">
      <c r="A95" s="4">
        <v>94</v>
      </c>
      <c r="B95" s="6" t="s">
        <v>695</v>
      </c>
      <c r="C95" s="134">
        <v>45570</v>
      </c>
      <c r="D95" s="103"/>
      <c r="E95" s="103"/>
      <c r="F95" s="103"/>
      <c r="G95" s="103"/>
      <c r="H95" s="103"/>
      <c r="I95" s="103"/>
      <c r="J95" s="58">
        <f t="shared" si="5"/>
        <v>0</v>
      </c>
      <c r="K95" s="58">
        <f t="shared" si="6"/>
        <v>0</v>
      </c>
      <c r="L95" s="58">
        <f t="shared" si="7"/>
        <v>0</v>
      </c>
      <c r="M95" s="58">
        <f t="shared" si="4"/>
        <v>0</v>
      </c>
      <c r="N95" s="58"/>
    </row>
    <row r="96" spans="1:14" x14ac:dyDescent="0.25">
      <c r="A96" s="4">
        <v>95</v>
      </c>
      <c r="B96" s="91" t="s">
        <v>566</v>
      </c>
      <c r="C96" s="115">
        <v>39083</v>
      </c>
      <c r="D96" s="103"/>
      <c r="E96" s="103"/>
      <c r="F96" s="103"/>
      <c r="G96" s="103"/>
      <c r="H96" s="103"/>
      <c r="I96" s="103"/>
      <c r="J96" s="58">
        <f t="shared" si="5"/>
        <v>0</v>
      </c>
      <c r="K96" s="58">
        <f t="shared" si="6"/>
        <v>0</v>
      </c>
      <c r="L96" s="58">
        <f t="shared" si="7"/>
        <v>0</v>
      </c>
      <c r="M96" s="58">
        <f t="shared" si="4"/>
        <v>0</v>
      </c>
      <c r="N96" s="58"/>
    </row>
    <row r="97" spans="1:14" x14ac:dyDescent="0.25">
      <c r="A97" s="4">
        <v>96</v>
      </c>
      <c r="B97" s="133" t="s">
        <v>567</v>
      </c>
      <c r="C97" s="134">
        <v>39083</v>
      </c>
      <c r="D97" s="103"/>
      <c r="E97" s="103"/>
      <c r="F97" s="103"/>
      <c r="G97" s="103"/>
      <c r="H97" s="103"/>
      <c r="I97" s="103"/>
      <c r="J97" s="58">
        <f t="shared" si="5"/>
        <v>0</v>
      </c>
      <c r="K97" s="58">
        <f t="shared" si="6"/>
        <v>0</v>
      </c>
      <c r="L97" s="58">
        <f t="shared" si="7"/>
        <v>0</v>
      </c>
      <c r="M97" s="58">
        <f t="shared" si="4"/>
        <v>0</v>
      </c>
      <c r="N97" s="58"/>
    </row>
    <row r="98" spans="1:14" x14ac:dyDescent="0.25">
      <c r="A98" s="4">
        <v>97</v>
      </c>
      <c r="B98" s="133" t="s">
        <v>568</v>
      </c>
      <c r="C98" s="134">
        <v>39083</v>
      </c>
      <c r="D98" s="103"/>
      <c r="E98" s="103"/>
      <c r="F98" s="103"/>
      <c r="G98" s="103"/>
      <c r="H98" s="103"/>
      <c r="I98" s="103"/>
      <c r="J98" s="58">
        <f t="shared" si="5"/>
        <v>0</v>
      </c>
      <c r="K98" s="58">
        <f t="shared" si="6"/>
        <v>0</v>
      </c>
      <c r="L98" s="58">
        <f t="shared" si="7"/>
        <v>0</v>
      </c>
      <c r="M98" s="58">
        <f t="shared" si="4"/>
        <v>0</v>
      </c>
      <c r="N98" s="58"/>
    </row>
    <row r="99" spans="1:14" x14ac:dyDescent="0.25">
      <c r="A99" s="4">
        <v>98</v>
      </c>
      <c r="B99" s="133" t="s">
        <v>569</v>
      </c>
      <c r="C99" s="134">
        <v>40940</v>
      </c>
      <c r="D99" s="103"/>
      <c r="E99" s="103"/>
      <c r="F99" s="103"/>
      <c r="G99" s="103"/>
      <c r="H99" s="103"/>
      <c r="I99" s="103"/>
      <c r="J99" s="58">
        <f t="shared" si="5"/>
        <v>0</v>
      </c>
      <c r="K99" s="58">
        <f t="shared" si="6"/>
        <v>0</v>
      </c>
      <c r="L99" s="58">
        <f t="shared" si="7"/>
        <v>0</v>
      </c>
      <c r="M99" s="58">
        <f t="shared" si="4"/>
        <v>0</v>
      </c>
      <c r="N99" s="58"/>
    </row>
    <row r="100" spans="1:14" x14ac:dyDescent="0.25">
      <c r="A100" s="4">
        <v>99</v>
      </c>
      <c r="B100" s="133" t="s">
        <v>570</v>
      </c>
      <c r="C100" s="134">
        <v>40848</v>
      </c>
      <c r="D100" s="103"/>
      <c r="E100" s="103"/>
      <c r="F100" s="103"/>
      <c r="G100" s="103"/>
      <c r="H100" s="103"/>
      <c r="I100" s="103"/>
      <c r="J100" s="58">
        <f t="shared" si="5"/>
        <v>0</v>
      </c>
      <c r="K100" s="58">
        <f t="shared" si="6"/>
        <v>0</v>
      </c>
      <c r="L100" s="58">
        <f t="shared" si="7"/>
        <v>0</v>
      </c>
      <c r="M100" s="58">
        <f t="shared" si="4"/>
        <v>0</v>
      </c>
      <c r="N100" s="58"/>
    </row>
    <row r="101" spans="1:14" x14ac:dyDescent="0.25">
      <c r="A101" s="4">
        <v>100</v>
      </c>
      <c r="B101" s="133" t="s">
        <v>571</v>
      </c>
      <c r="C101" s="134">
        <v>39173</v>
      </c>
      <c r="D101" s="103"/>
      <c r="E101" s="103"/>
      <c r="F101" s="103"/>
      <c r="G101" s="103"/>
      <c r="H101" s="103"/>
      <c r="I101" s="103"/>
      <c r="J101" s="58">
        <f t="shared" si="5"/>
        <v>0</v>
      </c>
      <c r="K101" s="58">
        <f t="shared" si="6"/>
        <v>0</v>
      </c>
      <c r="L101" s="58">
        <f t="shared" si="7"/>
        <v>0</v>
      </c>
      <c r="M101" s="58">
        <f t="shared" si="4"/>
        <v>0</v>
      </c>
      <c r="N101" s="58"/>
    </row>
    <row r="102" spans="1:14" x14ac:dyDescent="0.25">
      <c r="A102" s="4">
        <v>101</v>
      </c>
      <c r="B102" s="133" t="s">
        <v>572</v>
      </c>
      <c r="C102" s="134">
        <v>44105</v>
      </c>
      <c r="D102" s="103"/>
      <c r="E102" s="103"/>
      <c r="F102" s="103"/>
      <c r="G102" s="103"/>
      <c r="H102" s="103"/>
      <c r="I102" s="103"/>
      <c r="J102" s="58">
        <f t="shared" si="5"/>
        <v>0</v>
      </c>
      <c r="K102" s="58">
        <f t="shared" si="6"/>
        <v>0</v>
      </c>
      <c r="L102" s="58">
        <f t="shared" si="7"/>
        <v>0</v>
      </c>
      <c r="M102" s="58">
        <f t="shared" si="4"/>
        <v>0</v>
      </c>
      <c r="N102" s="58"/>
    </row>
    <row r="103" spans="1:14" x14ac:dyDescent="0.25">
      <c r="A103" s="4">
        <v>102</v>
      </c>
      <c r="B103" s="133" t="s">
        <v>620</v>
      </c>
      <c r="C103" s="134">
        <v>44378</v>
      </c>
      <c r="D103" s="103"/>
      <c r="E103" s="103"/>
      <c r="F103" s="103"/>
      <c r="G103" s="103"/>
      <c r="H103" s="103"/>
      <c r="I103" s="103"/>
      <c r="J103" s="58">
        <f t="shared" si="5"/>
        <v>0</v>
      </c>
      <c r="K103" s="58">
        <f t="shared" si="6"/>
        <v>0</v>
      </c>
      <c r="L103" s="58">
        <f t="shared" si="7"/>
        <v>0</v>
      </c>
      <c r="M103" s="58">
        <f t="shared" si="4"/>
        <v>0</v>
      </c>
      <c r="N103" s="58"/>
    </row>
    <row r="104" spans="1:14" x14ac:dyDescent="0.25">
      <c r="A104" s="4">
        <v>103</v>
      </c>
      <c r="B104" s="6" t="s">
        <v>696</v>
      </c>
      <c r="C104" s="115">
        <v>45068</v>
      </c>
      <c r="D104" s="103"/>
      <c r="E104" s="103"/>
      <c r="F104" s="103"/>
      <c r="G104" s="103"/>
      <c r="H104" s="103"/>
      <c r="I104" s="103"/>
      <c r="J104" s="58">
        <f t="shared" si="5"/>
        <v>0</v>
      </c>
      <c r="K104" s="58">
        <f t="shared" si="6"/>
        <v>0</v>
      </c>
      <c r="L104" s="58">
        <f t="shared" si="7"/>
        <v>0</v>
      </c>
      <c r="M104" s="58">
        <f t="shared" si="4"/>
        <v>0</v>
      </c>
      <c r="N104" s="58"/>
    </row>
    <row r="105" spans="1:14" x14ac:dyDescent="0.25">
      <c r="A105" s="4">
        <v>104</v>
      </c>
      <c r="B105" s="91" t="s">
        <v>574</v>
      </c>
      <c r="C105" s="115">
        <v>39083</v>
      </c>
      <c r="D105" s="103"/>
      <c r="E105" s="103"/>
      <c r="F105" s="103"/>
      <c r="G105" s="103"/>
      <c r="H105" s="103"/>
      <c r="I105" s="103"/>
      <c r="J105" s="58">
        <f t="shared" si="5"/>
        <v>0</v>
      </c>
      <c r="K105" s="58">
        <f t="shared" si="6"/>
        <v>0</v>
      </c>
      <c r="L105" s="58">
        <f t="shared" si="7"/>
        <v>0</v>
      </c>
      <c r="M105" s="58">
        <f t="shared" si="4"/>
        <v>0</v>
      </c>
      <c r="N105" s="58"/>
    </row>
    <row r="106" spans="1:14" x14ac:dyDescent="0.25">
      <c r="A106" s="4">
        <v>105</v>
      </c>
      <c r="B106" s="133" t="s">
        <v>575</v>
      </c>
      <c r="C106" s="115">
        <v>40544</v>
      </c>
      <c r="D106" s="103">
        <v>46068</v>
      </c>
      <c r="E106" s="103">
        <v>46069</v>
      </c>
      <c r="F106" s="103"/>
      <c r="G106" s="103"/>
      <c r="H106" s="103"/>
      <c r="I106" s="103"/>
      <c r="J106" s="58">
        <f t="shared" si="5"/>
        <v>1</v>
      </c>
      <c r="K106" s="58">
        <f t="shared" si="6"/>
        <v>0</v>
      </c>
      <c r="L106" s="58">
        <f t="shared" si="7"/>
        <v>0</v>
      </c>
      <c r="M106" s="58">
        <f t="shared" si="4"/>
        <v>1</v>
      </c>
      <c r="N106" s="58"/>
    </row>
    <row r="107" spans="1:14" x14ac:dyDescent="0.25">
      <c r="A107" s="4">
        <v>106</v>
      </c>
      <c r="B107" s="133" t="s">
        <v>576</v>
      </c>
      <c r="C107" s="134">
        <v>39083</v>
      </c>
      <c r="D107" s="103"/>
      <c r="E107" s="103"/>
      <c r="F107" s="103"/>
      <c r="G107" s="103"/>
      <c r="H107" s="103"/>
      <c r="I107" s="103"/>
      <c r="J107" s="58">
        <f t="shared" si="5"/>
        <v>0</v>
      </c>
      <c r="K107" s="58">
        <f t="shared" si="6"/>
        <v>0</v>
      </c>
      <c r="L107" s="58">
        <f t="shared" si="7"/>
        <v>0</v>
      </c>
      <c r="M107" s="58">
        <f t="shared" si="4"/>
        <v>0</v>
      </c>
      <c r="N107" s="58"/>
    </row>
    <row r="108" spans="1:14" x14ac:dyDescent="0.25">
      <c r="A108" s="4">
        <v>107</v>
      </c>
      <c r="B108" s="133" t="s">
        <v>577</v>
      </c>
      <c r="C108" s="134">
        <v>40544</v>
      </c>
      <c r="D108" s="103"/>
      <c r="E108" s="103"/>
      <c r="F108" s="103"/>
      <c r="G108" s="103"/>
      <c r="H108" s="103"/>
      <c r="I108" s="103"/>
      <c r="J108" s="58">
        <f t="shared" si="5"/>
        <v>0</v>
      </c>
      <c r="K108" s="58">
        <f t="shared" si="6"/>
        <v>0</v>
      </c>
      <c r="L108" s="58">
        <f t="shared" si="7"/>
        <v>0</v>
      </c>
      <c r="M108" s="58">
        <f t="shared" si="4"/>
        <v>0</v>
      </c>
      <c r="N108" s="58"/>
    </row>
    <row r="109" spans="1:14" x14ac:dyDescent="0.25">
      <c r="A109" s="4">
        <v>108</v>
      </c>
      <c r="B109" s="133" t="s">
        <v>578</v>
      </c>
      <c r="C109" s="134">
        <v>41456</v>
      </c>
      <c r="D109" s="103"/>
      <c r="E109" s="103"/>
      <c r="F109" s="103"/>
      <c r="G109" s="103"/>
      <c r="H109" s="103"/>
      <c r="I109" s="103"/>
      <c r="J109" s="58">
        <f t="shared" si="5"/>
        <v>0</v>
      </c>
      <c r="K109" s="58">
        <f t="shared" si="6"/>
        <v>0</v>
      </c>
      <c r="L109" s="58">
        <f t="shared" si="7"/>
        <v>0</v>
      </c>
      <c r="M109" s="58">
        <f t="shared" si="4"/>
        <v>0</v>
      </c>
      <c r="N109" s="58"/>
    </row>
    <row r="110" spans="1:14" x14ac:dyDescent="0.25">
      <c r="A110" s="4">
        <v>109</v>
      </c>
      <c r="B110" s="133" t="s">
        <v>581</v>
      </c>
      <c r="C110" s="134">
        <v>44172</v>
      </c>
      <c r="D110" s="103"/>
      <c r="E110" s="103"/>
      <c r="F110" s="103"/>
      <c r="G110" s="103"/>
      <c r="H110" s="103"/>
      <c r="I110" s="103"/>
      <c r="J110" s="58">
        <f t="shared" si="5"/>
        <v>0</v>
      </c>
      <c r="K110" s="58">
        <f t="shared" si="6"/>
        <v>0</v>
      </c>
      <c r="L110" s="58">
        <f t="shared" si="7"/>
        <v>0</v>
      </c>
      <c r="M110" s="58">
        <f t="shared" si="4"/>
        <v>0</v>
      </c>
      <c r="N110" s="58"/>
    </row>
    <row r="111" spans="1:14" x14ac:dyDescent="0.25">
      <c r="A111" s="4">
        <v>110</v>
      </c>
      <c r="B111" s="133" t="s">
        <v>184</v>
      </c>
      <c r="C111" s="134">
        <v>40210</v>
      </c>
      <c r="D111" s="103"/>
      <c r="E111" s="103"/>
      <c r="F111" s="103"/>
      <c r="G111" s="103"/>
      <c r="H111" s="103"/>
      <c r="I111" s="103"/>
      <c r="J111" s="58">
        <f t="shared" si="5"/>
        <v>0</v>
      </c>
      <c r="K111" s="58">
        <f t="shared" si="6"/>
        <v>0</v>
      </c>
      <c r="L111" s="58">
        <f t="shared" si="7"/>
        <v>0</v>
      </c>
      <c r="M111" s="58">
        <f t="shared" si="4"/>
        <v>0</v>
      </c>
      <c r="N111" s="58"/>
    </row>
    <row r="112" spans="1:14" x14ac:dyDescent="0.25">
      <c r="A112" s="4">
        <v>111</v>
      </c>
      <c r="B112" s="133" t="s">
        <v>604</v>
      </c>
      <c r="C112" s="134">
        <v>44713</v>
      </c>
      <c r="D112" s="103"/>
      <c r="E112" s="103"/>
      <c r="F112" s="103"/>
      <c r="G112" s="103"/>
      <c r="H112" s="103"/>
      <c r="I112" s="103"/>
      <c r="J112" s="58">
        <f t="shared" si="5"/>
        <v>0</v>
      </c>
      <c r="K112" s="58">
        <f t="shared" si="6"/>
        <v>0</v>
      </c>
      <c r="L112" s="58">
        <f t="shared" si="7"/>
        <v>0</v>
      </c>
      <c r="M112" s="58">
        <f t="shared" si="4"/>
        <v>0</v>
      </c>
      <c r="N112" s="58"/>
    </row>
    <row r="113" spans="1:14" x14ac:dyDescent="0.25">
      <c r="A113" s="4">
        <v>112</v>
      </c>
      <c r="B113" s="133" t="s">
        <v>621</v>
      </c>
      <c r="C113" s="134">
        <v>44817</v>
      </c>
      <c r="D113" s="103"/>
      <c r="E113" s="103"/>
      <c r="F113" s="103"/>
      <c r="G113" s="103"/>
      <c r="H113" s="103"/>
      <c r="I113" s="103"/>
      <c r="J113" s="58">
        <f t="shared" si="5"/>
        <v>0</v>
      </c>
      <c r="K113" s="58">
        <f t="shared" si="6"/>
        <v>0</v>
      </c>
      <c r="L113" s="58">
        <f t="shared" si="7"/>
        <v>0</v>
      </c>
      <c r="M113" s="58">
        <f t="shared" si="4"/>
        <v>0</v>
      </c>
      <c r="N113" s="58"/>
    </row>
    <row r="114" spans="1:14" x14ac:dyDescent="0.25">
      <c r="A114" s="4">
        <v>113</v>
      </c>
      <c r="B114" s="133" t="s">
        <v>645</v>
      </c>
      <c r="C114" s="134">
        <v>44900</v>
      </c>
      <c r="D114" s="103"/>
      <c r="E114" s="103"/>
      <c r="F114" s="103"/>
      <c r="G114" s="103"/>
      <c r="H114" s="103"/>
      <c r="I114" s="103"/>
      <c r="J114" s="58">
        <f t="shared" si="5"/>
        <v>0</v>
      </c>
      <c r="K114" s="58">
        <f t="shared" si="6"/>
        <v>0</v>
      </c>
      <c r="L114" s="58">
        <f t="shared" si="7"/>
        <v>0</v>
      </c>
      <c r="M114" s="58">
        <f t="shared" si="4"/>
        <v>0</v>
      </c>
      <c r="N114" s="58"/>
    </row>
    <row r="115" spans="1:14" x14ac:dyDescent="0.25">
      <c r="A115" s="4">
        <v>114</v>
      </c>
      <c r="B115" s="133" t="s">
        <v>652</v>
      </c>
      <c r="C115" s="115">
        <v>45054</v>
      </c>
      <c r="D115" s="103"/>
      <c r="E115" s="103"/>
      <c r="F115" s="103"/>
      <c r="G115" s="103"/>
      <c r="H115" s="103"/>
      <c r="I115" s="103"/>
      <c r="J115" s="58">
        <f t="shared" si="5"/>
        <v>0</v>
      </c>
      <c r="K115" s="58">
        <f t="shared" si="6"/>
        <v>0</v>
      </c>
      <c r="L115" s="58">
        <f t="shared" si="7"/>
        <v>0</v>
      </c>
      <c r="M115" s="58">
        <f t="shared" si="4"/>
        <v>0</v>
      </c>
      <c r="N115" s="58"/>
    </row>
    <row r="116" spans="1:14" x14ac:dyDescent="0.25">
      <c r="A116" s="4">
        <v>115</v>
      </c>
      <c r="B116" s="91" t="s">
        <v>582</v>
      </c>
      <c r="C116" s="115">
        <v>45201</v>
      </c>
      <c r="D116" s="103"/>
      <c r="E116" s="103"/>
      <c r="F116" s="103"/>
      <c r="G116" s="103"/>
      <c r="H116" s="103"/>
      <c r="I116" s="103"/>
      <c r="J116" s="58">
        <f t="shared" si="5"/>
        <v>0</v>
      </c>
      <c r="K116" s="58">
        <f t="shared" si="6"/>
        <v>0</v>
      </c>
      <c r="L116" s="58">
        <f t="shared" si="7"/>
        <v>0</v>
      </c>
      <c r="M116" s="58">
        <f>J116+K116+L116</f>
        <v>0</v>
      </c>
      <c r="N116" s="58"/>
    </row>
    <row r="117" spans="1:14" x14ac:dyDescent="0.25">
      <c r="A117" s="4">
        <v>116</v>
      </c>
      <c r="B117" s="133" t="s">
        <v>349</v>
      </c>
      <c r="C117" s="115">
        <v>45280</v>
      </c>
      <c r="D117" s="103"/>
      <c r="E117" s="103"/>
      <c r="F117" s="103"/>
      <c r="G117" s="103"/>
      <c r="H117" s="103"/>
      <c r="I117" s="103"/>
      <c r="J117" s="58">
        <f t="shared" si="5"/>
        <v>0</v>
      </c>
      <c r="K117" s="58">
        <f t="shared" si="6"/>
        <v>0</v>
      </c>
      <c r="L117" s="58">
        <f t="shared" si="7"/>
        <v>0</v>
      </c>
      <c r="M117" s="58">
        <f t="shared" si="4"/>
        <v>0</v>
      </c>
      <c r="N117" s="58"/>
    </row>
    <row r="118" spans="1:14" x14ac:dyDescent="0.25">
      <c r="A118" s="4">
        <v>117</v>
      </c>
      <c r="B118" s="133" t="s">
        <v>584</v>
      </c>
      <c r="C118" s="115">
        <v>42856</v>
      </c>
      <c r="D118" s="103"/>
      <c r="E118" s="103"/>
      <c r="F118" s="103"/>
      <c r="G118" s="103"/>
      <c r="H118" s="103"/>
      <c r="I118" s="103"/>
      <c r="J118" s="58">
        <f t="shared" si="5"/>
        <v>0</v>
      </c>
      <c r="K118" s="58">
        <f t="shared" si="6"/>
        <v>0</v>
      </c>
      <c r="L118" s="58">
        <f t="shared" si="7"/>
        <v>0</v>
      </c>
      <c r="M118" s="58">
        <f t="shared" si="4"/>
        <v>0</v>
      </c>
      <c r="N118" s="58"/>
    </row>
    <row r="119" spans="1:14" x14ac:dyDescent="0.25">
      <c r="A119" s="4">
        <v>118</v>
      </c>
      <c r="B119" s="133" t="s">
        <v>585</v>
      </c>
      <c r="C119" s="134">
        <v>39083</v>
      </c>
      <c r="D119" s="103"/>
      <c r="E119" s="103"/>
      <c r="F119" s="103"/>
      <c r="G119" s="103"/>
      <c r="H119" s="103"/>
      <c r="I119" s="103"/>
      <c r="J119" s="58">
        <f t="shared" si="5"/>
        <v>0</v>
      </c>
      <c r="K119" s="58">
        <f t="shared" si="6"/>
        <v>0</v>
      </c>
      <c r="L119" s="58">
        <f t="shared" si="7"/>
        <v>0</v>
      </c>
      <c r="M119" s="58">
        <f t="shared" si="4"/>
        <v>0</v>
      </c>
      <c r="N119" s="58"/>
    </row>
    <row r="120" spans="1:14" x14ac:dyDescent="0.25">
      <c r="A120" s="4">
        <v>119</v>
      </c>
      <c r="B120" s="133" t="s">
        <v>586</v>
      </c>
      <c r="C120" s="134">
        <v>44734</v>
      </c>
      <c r="D120" s="103"/>
      <c r="E120" s="103"/>
      <c r="F120" s="103"/>
      <c r="G120" s="103"/>
      <c r="H120" s="103"/>
      <c r="I120" s="103"/>
      <c r="J120" s="58">
        <f t="shared" si="5"/>
        <v>0</v>
      </c>
      <c r="K120" s="58">
        <f t="shared" si="6"/>
        <v>0</v>
      </c>
      <c r="L120" s="58">
        <f t="shared" si="7"/>
        <v>0</v>
      </c>
      <c r="M120" s="58">
        <f t="shared" si="4"/>
        <v>0</v>
      </c>
      <c r="N120" s="58"/>
    </row>
    <row r="121" spans="1:14" x14ac:dyDescent="0.25">
      <c r="A121" s="4">
        <v>120</v>
      </c>
      <c r="B121" s="133" t="s">
        <v>587</v>
      </c>
      <c r="C121" s="134">
        <v>42856</v>
      </c>
      <c r="D121" s="103"/>
      <c r="E121" s="103"/>
      <c r="F121" s="103"/>
      <c r="G121" s="103"/>
      <c r="H121" s="103"/>
      <c r="I121" s="103"/>
      <c r="J121" s="58">
        <f t="shared" si="5"/>
        <v>0</v>
      </c>
      <c r="K121" s="58">
        <f t="shared" si="6"/>
        <v>0</v>
      </c>
      <c r="L121" s="58">
        <f t="shared" si="7"/>
        <v>0</v>
      </c>
      <c r="M121" s="58">
        <f t="shared" si="4"/>
        <v>0</v>
      </c>
      <c r="N121" s="58"/>
    </row>
    <row r="122" spans="1:14" x14ac:dyDescent="0.25">
      <c r="A122" s="4">
        <v>121</v>
      </c>
      <c r="B122" s="133" t="s">
        <v>588</v>
      </c>
      <c r="C122" s="134">
        <v>41609</v>
      </c>
      <c r="D122" s="103"/>
      <c r="E122" s="103"/>
      <c r="F122" s="103"/>
      <c r="G122" s="103"/>
      <c r="H122" s="103"/>
      <c r="I122" s="103"/>
      <c r="J122" s="58">
        <f t="shared" si="5"/>
        <v>0</v>
      </c>
      <c r="K122" s="58">
        <f t="shared" si="6"/>
        <v>0</v>
      </c>
      <c r="L122" s="58">
        <f t="shared" si="7"/>
        <v>0</v>
      </c>
      <c r="M122" s="58">
        <f t="shared" si="4"/>
        <v>0</v>
      </c>
      <c r="N122" s="58"/>
    </row>
    <row r="123" spans="1:14" x14ac:dyDescent="0.25">
      <c r="A123" s="4">
        <v>122</v>
      </c>
      <c r="B123" s="133" t="s">
        <v>589</v>
      </c>
      <c r="C123" s="134">
        <v>39083</v>
      </c>
      <c r="D123" s="103">
        <v>46023</v>
      </c>
      <c r="E123" s="103">
        <v>46030</v>
      </c>
      <c r="F123" s="103"/>
      <c r="G123" s="103"/>
      <c r="H123" s="103"/>
      <c r="I123" s="103"/>
      <c r="J123" s="58">
        <f>E123-D123</f>
        <v>7</v>
      </c>
      <c r="K123" s="58">
        <f t="shared" si="6"/>
        <v>0</v>
      </c>
      <c r="L123" s="58">
        <f t="shared" si="7"/>
        <v>0</v>
      </c>
      <c r="M123" s="58">
        <f t="shared" si="4"/>
        <v>7</v>
      </c>
      <c r="N123" s="58"/>
    </row>
    <row r="124" spans="1:14" x14ac:dyDescent="0.25">
      <c r="A124" s="4">
        <v>123</v>
      </c>
      <c r="B124" s="133" t="s">
        <v>590</v>
      </c>
      <c r="C124" s="134">
        <v>39083</v>
      </c>
      <c r="D124" s="103"/>
      <c r="E124" s="103"/>
      <c r="F124" s="103"/>
      <c r="G124" s="103"/>
      <c r="H124" s="103"/>
      <c r="I124" s="103"/>
      <c r="J124" s="58">
        <f t="shared" si="5"/>
        <v>0</v>
      </c>
      <c r="K124" s="58">
        <f t="shared" si="6"/>
        <v>0</v>
      </c>
      <c r="L124" s="58">
        <f t="shared" si="7"/>
        <v>0</v>
      </c>
      <c r="M124" s="58">
        <f t="shared" si="4"/>
        <v>0</v>
      </c>
      <c r="N124" s="58"/>
    </row>
    <row r="125" spans="1:14" x14ac:dyDescent="0.25">
      <c r="A125" s="4">
        <v>124</v>
      </c>
      <c r="B125" s="133" t="s">
        <v>593</v>
      </c>
      <c r="C125" s="134">
        <v>39326</v>
      </c>
      <c r="D125" s="103"/>
      <c r="E125" s="103"/>
      <c r="F125" s="103"/>
      <c r="G125" s="103"/>
      <c r="H125" s="103"/>
      <c r="I125" s="103"/>
      <c r="J125" s="58">
        <f t="shared" si="5"/>
        <v>0</v>
      </c>
      <c r="K125" s="58">
        <f t="shared" si="6"/>
        <v>0</v>
      </c>
      <c r="L125" s="58">
        <f t="shared" si="7"/>
        <v>0</v>
      </c>
      <c r="M125" s="58">
        <f t="shared" si="4"/>
        <v>0</v>
      </c>
      <c r="N125" s="58"/>
    </row>
    <row r="126" spans="1:14" x14ac:dyDescent="0.25">
      <c r="A126" s="4">
        <v>125</v>
      </c>
      <c r="B126" s="133" t="s">
        <v>467</v>
      </c>
      <c r="C126" s="134">
        <v>39783</v>
      </c>
      <c r="D126" s="103"/>
      <c r="E126" s="103"/>
      <c r="F126" s="103"/>
      <c r="G126" s="103"/>
      <c r="H126" s="103"/>
      <c r="I126" s="103"/>
      <c r="J126" s="58">
        <f t="shared" si="5"/>
        <v>0</v>
      </c>
      <c r="K126" s="58">
        <f t="shared" si="6"/>
        <v>0</v>
      </c>
      <c r="L126" s="58">
        <f t="shared" si="7"/>
        <v>0</v>
      </c>
      <c r="M126" s="58">
        <f t="shared" si="4"/>
        <v>0</v>
      </c>
      <c r="N126" s="58"/>
    </row>
    <row r="127" spans="1:14" x14ac:dyDescent="0.25">
      <c r="A127" s="4">
        <v>126</v>
      </c>
      <c r="B127" s="133" t="s">
        <v>596</v>
      </c>
      <c r="C127" s="134">
        <v>40695</v>
      </c>
      <c r="D127" s="103"/>
      <c r="E127" s="103"/>
      <c r="F127" s="103"/>
      <c r="G127" s="103"/>
      <c r="H127" s="103"/>
      <c r="I127" s="103"/>
      <c r="J127" s="58">
        <f>E127-D127</f>
        <v>0</v>
      </c>
      <c r="K127" s="58">
        <f t="shared" si="6"/>
        <v>0</v>
      </c>
      <c r="L127" s="58">
        <f t="shared" si="7"/>
        <v>0</v>
      </c>
      <c r="M127" s="58">
        <f t="shared" ref="M127:M133" si="8">J127+K127+L127</f>
        <v>0</v>
      </c>
      <c r="N127" s="58"/>
    </row>
    <row r="128" spans="1:14" x14ac:dyDescent="0.25">
      <c r="A128" s="4">
        <v>127</v>
      </c>
      <c r="B128" s="133" t="s">
        <v>597</v>
      </c>
      <c r="C128" s="134">
        <v>42156</v>
      </c>
      <c r="D128" s="103"/>
      <c r="E128" s="103"/>
      <c r="F128" s="103"/>
      <c r="G128" s="103"/>
      <c r="H128" s="103"/>
      <c r="I128" s="103"/>
      <c r="J128" s="58">
        <f t="shared" si="5"/>
        <v>0</v>
      </c>
      <c r="K128" s="58">
        <f t="shared" si="6"/>
        <v>0</v>
      </c>
      <c r="L128" s="58">
        <f t="shared" si="7"/>
        <v>0</v>
      </c>
      <c r="M128" s="58">
        <f t="shared" si="8"/>
        <v>0</v>
      </c>
      <c r="N128" s="58"/>
    </row>
    <row r="129" spans="1:14" x14ac:dyDescent="0.25">
      <c r="A129" s="4">
        <v>128</v>
      </c>
      <c r="B129" s="133" t="s">
        <v>598</v>
      </c>
      <c r="C129" s="134">
        <v>44256</v>
      </c>
      <c r="D129" s="103"/>
      <c r="E129" s="103"/>
      <c r="F129" s="103"/>
      <c r="G129" s="103"/>
      <c r="H129" s="103"/>
      <c r="I129" s="103"/>
      <c r="J129" s="58">
        <f t="shared" si="5"/>
        <v>0</v>
      </c>
      <c r="K129" s="58">
        <f t="shared" si="6"/>
        <v>0</v>
      </c>
      <c r="L129" s="58">
        <f t="shared" si="7"/>
        <v>0</v>
      </c>
      <c r="M129" s="58">
        <f t="shared" si="8"/>
        <v>0</v>
      </c>
      <c r="N129" s="58"/>
    </row>
    <row r="130" spans="1:14" x14ac:dyDescent="0.25">
      <c r="A130" s="4">
        <v>129</v>
      </c>
      <c r="B130" s="133" t="s">
        <v>616</v>
      </c>
      <c r="C130" s="134">
        <v>44348</v>
      </c>
      <c r="D130" s="103"/>
      <c r="E130" s="103"/>
      <c r="F130" s="103"/>
      <c r="G130" s="103"/>
      <c r="H130" s="103"/>
      <c r="I130" s="103"/>
      <c r="J130" s="58">
        <f t="shared" ref="J130:J134" si="9">E130-D130</f>
        <v>0</v>
      </c>
      <c r="K130" s="58">
        <f t="shared" si="6"/>
        <v>0</v>
      </c>
      <c r="L130" s="58">
        <f t="shared" si="7"/>
        <v>0</v>
      </c>
      <c r="M130" s="58">
        <f t="shared" si="8"/>
        <v>0</v>
      </c>
      <c r="N130" s="58"/>
    </row>
    <row r="131" spans="1:14" x14ac:dyDescent="0.25">
      <c r="A131" s="4">
        <v>130</v>
      </c>
      <c r="B131" s="133" t="s">
        <v>637</v>
      </c>
      <c r="C131" s="134">
        <v>44470</v>
      </c>
      <c r="D131" s="103"/>
      <c r="E131" s="103"/>
      <c r="F131" s="103"/>
      <c r="G131" s="103"/>
      <c r="H131" s="103"/>
      <c r="I131" s="103"/>
      <c r="J131" s="58">
        <f t="shared" si="9"/>
        <v>0</v>
      </c>
      <c r="K131" s="58">
        <f t="shared" ref="K131:K134" si="10">G131-F131</f>
        <v>0</v>
      </c>
      <c r="L131" s="58">
        <f t="shared" ref="L131:L134" si="11">I131-H131</f>
        <v>0</v>
      </c>
      <c r="M131" s="58">
        <f t="shared" si="8"/>
        <v>0</v>
      </c>
      <c r="N131" s="58"/>
    </row>
    <row r="132" spans="1:14" x14ac:dyDescent="0.25">
      <c r="A132" s="4">
        <v>131</v>
      </c>
      <c r="B132" s="133" t="s">
        <v>697</v>
      </c>
      <c r="C132" s="134">
        <v>44713</v>
      </c>
      <c r="D132" s="103"/>
      <c r="E132" s="103"/>
      <c r="F132" s="103"/>
      <c r="G132" s="103"/>
      <c r="H132" s="103"/>
      <c r="I132" s="103"/>
      <c r="J132" s="58">
        <f t="shared" si="9"/>
        <v>0</v>
      </c>
      <c r="K132" s="58">
        <f t="shared" si="10"/>
        <v>0</v>
      </c>
      <c r="L132" s="58">
        <f t="shared" si="11"/>
        <v>0</v>
      </c>
      <c r="M132" s="58">
        <f t="shared" si="8"/>
        <v>0</v>
      </c>
      <c r="N132" s="58"/>
    </row>
    <row r="133" spans="1:14" x14ac:dyDescent="0.25">
      <c r="A133" s="4">
        <v>132</v>
      </c>
      <c r="B133" s="133" t="s">
        <v>708</v>
      </c>
      <c r="C133" s="134">
        <v>45775</v>
      </c>
      <c r="D133" s="103"/>
      <c r="E133" s="103"/>
      <c r="F133" s="103"/>
      <c r="G133" s="103"/>
      <c r="H133" s="103"/>
      <c r="I133" s="103"/>
      <c r="J133" s="58">
        <f t="shared" si="9"/>
        <v>0</v>
      </c>
      <c r="K133" s="58">
        <f t="shared" si="10"/>
        <v>0</v>
      </c>
      <c r="L133" s="58">
        <f t="shared" si="11"/>
        <v>0</v>
      </c>
      <c r="M133" s="58">
        <f t="shared" si="8"/>
        <v>0</v>
      </c>
      <c r="N133" s="58"/>
    </row>
    <row r="134" spans="1:14" x14ac:dyDescent="0.25">
      <c r="A134" s="4">
        <v>133</v>
      </c>
      <c r="B134" s="133" t="s">
        <v>704</v>
      </c>
      <c r="C134" s="134">
        <v>45434</v>
      </c>
      <c r="D134" s="103"/>
      <c r="E134" s="103"/>
      <c r="F134" s="103"/>
      <c r="G134" s="103"/>
      <c r="H134" s="103"/>
      <c r="I134" s="103"/>
      <c r="J134" s="58">
        <f t="shared" si="9"/>
        <v>0</v>
      </c>
      <c r="K134" s="58">
        <f t="shared" si="10"/>
        <v>0</v>
      </c>
      <c r="L134" s="58">
        <f t="shared" si="11"/>
        <v>0</v>
      </c>
      <c r="M134" s="58">
        <f t="shared" ref="M134" si="12">J134+K134+L134</f>
        <v>0</v>
      </c>
      <c r="N134" s="58"/>
    </row>
    <row r="138" spans="1:14" ht="27" customHeight="1" x14ac:dyDescent="0.3">
      <c r="C138" s="129" t="s">
        <v>685</v>
      </c>
    </row>
    <row r="141" spans="1:14" x14ac:dyDescent="0.25">
      <c r="B141" s="88" t="s">
        <v>710</v>
      </c>
    </row>
    <row r="142" spans="1:14" x14ac:dyDescent="0.25">
      <c r="A142" s="4">
        <v>5</v>
      </c>
      <c r="B142" s="133" t="s">
        <v>481</v>
      </c>
      <c r="C142" s="134">
        <v>44866</v>
      </c>
      <c r="D142" s="103"/>
      <c r="E142" s="103"/>
      <c r="F142" s="103"/>
      <c r="G142" s="103"/>
      <c r="H142" s="103"/>
      <c r="I142" s="103"/>
      <c r="J142" s="58">
        <f t="shared" ref="J142:J149" si="13">E142-D142</f>
        <v>0</v>
      </c>
      <c r="K142" s="58">
        <f t="shared" ref="K142:K149" si="14">G142-F142</f>
        <v>0</v>
      </c>
      <c r="L142" s="58">
        <f t="shared" ref="L142:L149" si="15">I142-H142</f>
        <v>0</v>
      </c>
      <c r="M142" s="58">
        <f t="shared" ref="M142:M149" si="16">J142+K142+L142</f>
        <v>0</v>
      </c>
      <c r="N142" s="58"/>
    </row>
    <row r="143" spans="1:14" x14ac:dyDescent="0.25">
      <c r="A143" s="4">
        <v>6</v>
      </c>
      <c r="B143" s="133" t="s">
        <v>603</v>
      </c>
      <c r="C143" s="134">
        <v>44900</v>
      </c>
      <c r="D143" s="103"/>
      <c r="E143" s="103"/>
      <c r="F143" s="103"/>
      <c r="G143" s="103"/>
      <c r="H143" s="103"/>
      <c r="I143" s="103"/>
      <c r="J143" s="58">
        <f t="shared" si="13"/>
        <v>0</v>
      </c>
      <c r="K143" s="58">
        <f t="shared" si="14"/>
        <v>0</v>
      </c>
      <c r="L143" s="58">
        <f t="shared" si="15"/>
        <v>0</v>
      </c>
      <c r="M143" s="58">
        <f t="shared" si="16"/>
        <v>0</v>
      </c>
      <c r="N143" s="58"/>
    </row>
    <row r="144" spans="1:14" x14ac:dyDescent="0.25">
      <c r="A144" s="4">
        <v>64</v>
      </c>
      <c r="B144" s="133" t="s">
        <v>563</v>
      </c>
      <c r="C144" s="134">
        <v>44774</v>
      </c>
      <c r="D144" s="103"/>
      <c r="E144" s="103"/>
      <c r="F144" s="103"/>
      <c r="G144" s="103"/>
      <c r="H144" s="103"/>
      <c r="I144" s="103"/>
      <c r="J144" s="58">
        <f t="shared" si="13"/>
        <v>0</v>
      </c>
      <c r="K144" s="58">
        <f t="shared" si="14"/>
        <v>0</v>
      </c>
      <c r="L144" s="58">
        <f t="shared" si="15"/>
        <v>0</v>
      </c>
      <c r="M144" s="58">
        <f t="shared" si="16"/>
        <v>0</v>
      </c>
      <c r="N144" s="58"/>
    </row>
    <row r="145" spans="1:14" x14ac:dyDescent="0.25">
      <c r="A145" s="4">
        <v>113</v>
      </c>
      <c r="B145" s="133" t="s">
        <v>43</v>
      </c>
      <c r="C145" s="134">
        <v>42979</v>
      </c>
      <c r="D145" s="103"/>
      <c r="E145" s="103"/>
      <c r="F145" s="103"/>
      <c r="G145" s="103"/>
      <c r="H145" s="103"/>
      <c r="I145" s="103"/>
      <c r="J145" s="58">
        <f t="shared" si="13"/>
        <v>0</v>
      </c>
      <c r="K145" s="58">
        <f t="shared" si="14"/>
        <v>0</v>
      </c>
      <c r="L145" s="58">
        <f t="shared" si="15"/>
        <v>0</v>
      </c>
      <c r="M145" s="58">
        <f t="shared" si="16"/>
        <v>0</v>
      </c>
      <c r="N145" s="58"/>
    </row>
    <row r="146" spans="1:14" x14ac:dyDescent="0.25">
      <c r="A146" s="4">
        <v>66</v>
      </c>
      <c r="B146" s="133" t="s">
        <v>602</v>
      </c>
      <c r="C146" s="115">
        <v>44893</v>
      </c>
      <c r="D146" s="103"/>
      <c r="E146" s="103"/>
      <c r="F146" s="103"/>
      <c r="G146" s="103"/>
      <c r="H146" s="103"/>
      <c r="I146" s="103"/>
      <c r="J146" s="58">
        <f t="shared" si="13"/>
        <v>0</v>
      </c>
      <c r="K146" s="58">
        <f t="shared" si="14"/>
        <v>0</v>
      </c>
      <c r="L146" s="58">
        <f t="shared" si="15"/>
        <v>0</v>
      </c>
      <c r="M146" s="58">
        <f t="shared" si="16"/>
        <v>0</v>
      </c>
      <c r="N146" s="58"/>
    </row>
    <row r="147" spans="1:14" x14ac:dyDescent="0.25">
      <c r="A147" s="4">
        <v>57</v>
      </c>
      <c r="B147" s="133" t="s">
        <v>556</v>
      </c>
      <c r="C147" s="134">
        <v>44682</v>
      </c>
      <c r="D147" s="103"/>
      <c r="E147" s="103"/>
      <c r="F147" s="103"/>
      <c r="G147" s="103"/>
      <c r="H147" s="103"/>
      <c r="I147" s="103"/>
      <c r="J147" s="58">
        <f t="shared" si="13"/>
        <v>0</v>
      </c>
      <c r="K147" s="58">
        <f t="shared" si="14"/>
        <v>0</v>
      </c>
      <c r="L147" s="58">
        <f t="shared" si="15"/>
        <v>0</v>
      </c>
      <c r="M147" s="58">
        <f t="shared" si="16"/>
        <v>0</v>
      </c>
      <c r="N147" s="58"/>
    </row>
    <row r="148" spans="1:14" x14ac:dyDescent="0.25">
      <c r="A148" s="4">
        <v>87</v>
      </c>
      <c r="B148" s="133" t="s">
        <v>655</v>
      </c>
      <c r="C148" s="115">
        <v>45325</v>
      </c>
      <c r="D148" s="103"/>
      <c r="E148" s="103"/>
      <c r="F148" s="103"/>
      <c r="G148" s="103"/>
      <c r="H148" s="103"/>
      <c r="I148" s="103"/>
      <c r="J148" s="58">
        <f t="shared" si="13"/>
        <v>0</v>
      </c>
      <c r="K148" s="58">
        <f t="shared" si="14"/>
        <v>0</v>
      </c>
      <c r="L148" s="58">
        <f t="shared" si="15"/>
        <v>0</v>
      </c>
      <c r="M148" s="58">
        <f t="shared" si="16"/>
        <v>0</v>
      </c>
      <c r="N148" s="58"/>
    </row>
    <row r="149" spans="1:14" x14ac:dyDescent="0.25">
      <c r="A149" s="4">
        <v>6</v>
      </c>
      <c r="B149" s="133" t="s">
        <v>636</v>
      </c>
      <c r="C149" s="115">
        <v>45114</v>
      </c>
      <c r="D149" s="103"/>
      <c r="E149" s="103"/>
      <c r="F149" s="103"/>
      <c r="G149" s="103"/>
      <c r="H149" s="103"/>
      <c r="I149" s="103"/>
      <c r="J149" s="58">
        <f t="shared" si="13"/>
        <v>0</v>
      </c>
      <c r="K149" s="58">
        <f t="shared" si="14"/>
        <v>0</v>
      </c>
      <c r="L149" s="58">
        <f t="shared" si="15"/>
        <v>0</v>
      </c>
      <c r="M149" s="58">
        <f t="shared" si="16"/>
        <v>0</v>
      </c>
      <c r="N149" s="58"/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9"/>
  <sheetViews>
    <sheetView topLeftCell="A104" workbookViewId="0">
      <selection activeCell="D127" sqref="D127"/>
    </sheetView>
  </sheetViews>
  <sheetFormatPr defaultRowHeight="15" x14ac:dyDescent="0.25"/>
  <cols>
    <col min="1" max="1" width="11.42578125" style="88" customWidth="1"/>
    <col min="2" max="2" width="63" style="88" customWidth="1"/>
    <col min="3" max="3" width="17.140625" style="82" bestFit="1" customWidth="1"/>
    <col min="4" max="4" width="15.5703125" style="88" customWidth="1"/>
    <col min="5" max="5" width="17.7109375" style="88" customWidth="1"/>
    <col min="6" max="6" width="12.42578125" style="88" customWidth="1"/>
    <col min="7" max="7" width="10.5703125" style="88" customWidth="1"/>
    <col min="8" max="8" width="12.28515625" style="88" customWidth="1"/>
    <col min="9" max="9" width="11.28515625" style="88" customWidth="1"/>
    <col min="10" max="10" width="7.42578125" style="88" customWidth="1"/>
    <col min="11" max="11" width="8.140625" style="88" customWidth="1"/>
    <col min="12" max="12" width="5.42578125" style="88" customWidth="1"/>
    <col min="13" max="13" width="9.7109375" style="88" customWidth="1"/>
    <col min="14" max="14" width="9" style="88" customWidth="1"/>
  </cols>
  <sheetData>
    <row r="1" spans="1:14" ht="37.5" customHeight="1" x14ac:dyDescent="0.25">
      <c r="A1" s="90" t="s">
        <v>600</v>
      </c>
      <c r="B1" s="90" t="s">
        <v>126</v>
      </c>
      <c r="C1" s="71" t="s">
        <v>131</v>
      </c>
      <c r="D1" s="144" t="s">
        <v>127</v>
      </c>
      <c r="E1" s="144"/>
      <c r="F1" s="144" t="s">
        <v>128</v>
      </c>
      <c r="G1" s="144"/>
      <c r="H1" s="144" t="s">
        <v>215</v>
      </c>
      <c r="I1" s="144"/>
      <c r="J1" s="80">
        <v>1</v>
      </c>
      <c r="K1" s="80">
        <v>2</v>
      </c>
      <c r="L1" s="80">
        <v>3</v>
      </c>
      <c r="M1" s="80" t="s">
        <v>72</v>
      </c>
      <c r="N1" s="80" t="s">
        <v>378</v>
      </c>
    </row>
    <row r="2" spans="1:14" x14ac:dyDescent="0.25">
      <c r="A2" s="4">
        <v>1</v>
      </c>
      <c r="B2" s="133" t="s">
        <v>490</v>
      </c>
      <c r="C2" s="134">
        <v>39295</v>
      </c>
      <c r="D2" s="103">
        <v>45699</v>
      </c>
      <c r="E2" s="103">
        <v>45704</v>
      </c>
      <c r="F2" s="103">
        <v>45865</v>
      </c>
      <c r="G2" s="103">
        <v>45886</v>
      </c>
      <c r="H2" s="103"/>
      <c r="I2" s="103"/>
      <c r="J2" s="58">
        <f t="shared" ref="J2:J60" si="0">E2-D2</f>
        <v>5</v>
      </c>
      <c r="K2" s="58">
        <f>G2-F2</f>
        <v>21</v>
      </c>
      <c r="L2" s="58">
        <f>I2-H2</f>
        <v>0</v>
      </c>
      <c r="M2" s="58">
        <f>J2+K2+L2</f>
        <v>26</v>
      </c>
      <c r="N2" s="58"/>
    </row>
    <row r="3" spans="1:14" x14ac:dyDescent="0.25">
      <c r="A3" s="4">
        <v>2</v>
      </c>
      <c r="B3" s="133" t="s">
        <v>491</v>
      </c>
      <c r="C3" s="134">
        <v>41883</v>
      </c>
      <c r="D3" s="103">
        <v>45778</v>
      </c>
      <c r="E3" s="103">
        <v>45802</v>
      </c>
      <c r="F3" s="103"/>
      <c r="G3" s="103"/>
      <c r="H3" s="103"/>
      <c r="I3" s="103"/>
      <c r="J3" s="58">
        <f t="shared" si="0"/>
        <v>24</v>
      </c>
      <c r="K3" s="58">
        <f t="shared" ref="K3:K61" si="1">G3-F3</f>
        <v>0</v>
      </c>
      <c r="L3" s="58">
        <f t="shared" ref="L3:L61" si="2">I3-H3</f>
        <v>0</v>
      </c>
      <c r="M3" s="58">
        <f t="shared" ref="M3:M65" si="3">J3+K3+L3</f>
        <v>24</v>
      </c>
      <c r="N3" s="58"/>
    </row>
    <row r="4" spans="1:14" x14ac:dyDescent="0.25">
      <c r="A4" s="4">
        <v>3</v>
      </c>
      <c r="B4" s="133" t="s">
        <v>492</v>
      </c>
      <c r="C4" s="134">
        <v>42740</v>
      </c>
      <c r="D4" s="103">
        <v>45708</v>
      </c>
      <c r="E4" s="103">
        <v>45718</v>
      </c>
      <c r="F4" s="103"/>
      <c r="G4" s="103"/>
      <c r="H4" s="103"/>
      <c r="I4" s="103"/>
      <c r="J4" s="58">
        <f t="shared" si="0"/>
        <v>10</v>
      </c>
      <c r="K4" s="58">
        <f t="shared" si="1"/>
        <v>0</v>
      </c>
      <c r="L4" s="58">
        <f t="shared" si="2"/>
        <v>0</v>
      </c>
      <c r="M4" s="58">
        <f t="shared" si="3"/>
        <v>10</v>
      </c>
      <c r="N4" s="58"/>
    </row>
    <row r="5" spans="1:14" x14ac:dyDescent="0.25">
      <c r="A5" s="4">
        <v>4</v>
      </c>
      <c r="B5" s="133" t="s">
        <v>350</v>
      </c>
      <c r="C5" s="134">
        <v>44762</v>
      </c>
      <c r="D5" s="103">
        <v>46016</v>
      </c>
      <c r="E5" s="103">
        <v>46022</v>
      </c>
      <c r="F5" s="103"/>
      <c r="G5" s="103"/>
      <c r="H5" s="103"/>
      <c r="I5" s="103"/>
      <c r="J5" s="58">
        <f t="shared" si="0"/>
        <v>6</v>
      </c>
      <c r="K5" s="58">
        <f t="shared" si="1"/>
        <v>0</v>
      </c>
      <c r="L5" s="58">
        <f t="shared" si="2"/>
        <v>0</v>
      </c>
      <c r="M5" s="58">
        <f t="shared" si="3"/>
        <v>6</v>
      </c>
      <c r="N5" s="58"/>
    </row>
    <row r="6" spans="1:14" x14ac:dyDescent="0.25">
      <c r="A6" s="4">
        <v>5</v>
      </c>
      <c r="B6" s="133" t="s">
        <v>691</v>
      </c>
      <c r="C6" s="134">
        <v>45658</v>
      </c>
      <c r="D6" s="103"/>
      <c r="E6" s="103"/>
      <c r="F6" s="103"/>
      <c r="G6" s="103"/>
      <c r="H6" s="103"/>
      <c r="I6" s="103"/>
      <c r="J6" s="58">
        <f t="shared" si="0"/>
        <v>0</v>
      </c>
      <c r="K6" s="58">
        <f t="shared" si="1"/>
        <v>0</v>
      </c>
      <c r="L6" s="58">
        <f t="shared" si="2"/>
        <v>0</v>
      </c>
      <c r="M6" s="58">
        <f t="shared" si="3"/>
        <v>0</v>
      </c>
      <c r="N6" s="58"/>
    </row>
    <row r="7" spans="1:14" x14ac:dyDescent="0.25">
      <c r="A7" s="4">
        <v>6</v>
      </c>
      <c r="B7" s="133" t="s">
        <v>653</v>
      </c>
      <c r="C7" s="115">
        <v>45301</v>
      </c>
      <c r="D7" s="103">
        <v>45927</v>
      </c>
      <c r="E7" s="103">
        <v>45955</v>
      </c>
      <c r="F7" s="103"/>
      <c r="G7" s="103"/>
      <c r="H7" s="103"/>
      <c r="I7" s="103"/>
      <c r="J7" s="58">
        <f t="shared" si="0"/>
        <v>28</v>
      </c>
      <c r="K7" s="58">
        <f t="shared" si="1"/>
        <v>0</v>
      </c>
      <c r="L7" s="58">
        <f t="shared" si="2"/>
        <v>0</v>
      </c>
      <c r="M7" s="58">
        <f t="shared" si="3"/>
        <v>28</v>
      </c>
      <c r="N7" s="58"/>
    </row>
    <row r="8" spans="1:14" x14ac:dyDescent="0.25">
      <c r="A8" s="4">
        <v>7</v>
      </c>
      <c r="B8" s="133" t="s">
        <v>680</v>
      </c>
      <c r="C8" s="115">
        <v>45432</v>
      </c>
      <c r="D8" s="103"/>
      <c r="E8" s="103"/>
      <c r="F8" s="103"/>
      <c r="G8" s="103"/>
      <c r="H8" s="103"/>
      <c r="I8" s="103"/>
      <c r="J8" s="58">
        <f t="shared" si="0"/>
        <v>0</v>
      </c>
      <c r="K8" s="58">
        <f t="shared" si="1"/>
        <v>0</v>
      </c>
      <c r="L8" s="58">
        <f t="shared" si="2"/>
        <v>0</v>
      </c>
      <c r="M8" s="58">
        <f t="shared" si="3"/>
        <v>0</v>
      </c>
      <c r="N8" s="58"/>
    </row>
    <row r="9" spans="1:14" x14ac:dyDescent="0.25">
      <c r="A9" s="4">
        <v>8</v>
      </c>
      <c r="B9" s="91" t="s">
        <v>497</v>
      </c>
      <c r="C9" s="74">
        <v>39083</v>
      </c>
      <c r="D9" s="103"/>
      <c r="E9" s="103"/>
      <c r="F9" s="103"/>
      <c r="G9" s="103"/>
      <c r="H9" s="103"/>
      <c r="I9" s="103"/>
      <c r="J9" s="58">
        <f t="shared" si="0"/>
        <v>0</v>
      </c>
      <c r="K9" s="58">
        <f t="shared" si="1"/>
        <v>0</v>
      </c>
      <c r="L9" s="58">
        <f t="shared" si="2"/>
        <v>0</v>
      </c>
      <c r="M9" s="58">
        <f t="shared" si="3"/>
        <v>0</v>
      </c>
      <c r="N9" s="58"/>
    </row>
    <row r="10" spans="1:14" x14ac:dyDescent="0.25">
      <c r="A10" s="4">
        <v>9</v>
      </c>
      <c r="B10" s="133" t="s">
        <v>592</v>
      </c>
      <c r="C10" s="134">
        <v>41852</v>
      </c>
      <c r="D10" s="103"/>
      <c r="E10" s="103"/>
      <c r="F10" s="103"/>
      <c r="G10" s="103"/>
      <c r="H10" s="103"/>
      <c r="I10" s="103"/>
      <c r="J10" s="58">
        <f t="shared" si="0"/>
        <v>0</v>
      </c>
      <c r="K10" s="58">
        <f t="shared" si="1"/>
        <v>0</v>
      </c>
      <c r="L10" s="58">
        <f t="shared" si="2"/>
        <v>0</v>
      </c>
      <c r="M10" s="58">
        <f t="shared" si="3"/>
        <v>0</v>
      </c>
      <c r="N10" s="89"/>
    </row>
    <row r="11" spans="1:14" x14ac:dyDescent="0.25">
      <c r="A11" s="4">
        <v>10</v>
      </c>
      <c r="B11" s="91" t="s">
        <v>498</v>
      </c>
      <c r="C11" s="74">
        <v>39083</v>
      </c>
      <c r="D11" s="103">
        <v>45658</v>
      </c>
      <c r="E11" s="103">
        <v>45659</v>
      </c>
      <c r="F11" s="103">
        <v>45834</v>
      </c>
      <c r="G11" s="103">
        <v>45848</v>
      </c>
      <c r="H11" s="103"/>
      <c r="I11" s="103"/>
      <c r="J11" s="58">
        <f t="shared" si="0"/>
        <v>1</v>
      </c>
      <c r="K11" s="58">
        <f t="shared" si="1"/>
        <v>14</v>
      </c>
      <c r="L11" s="58">
        <f t="shared" si="2"/>
        <v>0</v>
      </c>
      <c r="M11" s="58">
        <f t="shared" si="3"/>
        <v>15</v>
      </c>
      <c r="N11" s="58"/>
    </row>
    <row r="12" spans="1:14" x14ac:dyDescent="0.25">
      <c r="A12" s="4">
        <v>11</v>
      </c>
      <c r="B12" s="133" t="s">
        <v>499</v>
      </c>
      <c r="C12" s="134">
        <v>39083</v>
      </c>
      <c r="D12" s="137">
        <v>45853</v>
      </c>
      <c r="E12" s="137">
        <v>45861</v>
      </c>
      <c r="F12" s="103">
        <v>45897</v>
      </c>
      <c r="G12" s="103">
        <v>45909</v>
      </c>
      <c r="H12" s="103"/>
      <c r="I12" s="103"/>
      <c r="J12" s="58">
        <f t="shared" si="0"/>
        <v>8</v>
      </c>
      <c r="K12" s="58">
        <f t="shared" si="1"/>
        <v>12</v>
      </c>
      <c r="L12" s="58">
        <f t="shared" si="2"/>
        <v>0</v>
      </c>
      <c r="M12" s="58">
        <f t="shared" si="3"/>
        <v>20</v>
      </c>
      <c r="N12" s="58"/>
    </row>
    <row r="13" spans="1:14" x14ac:dyDescent="0.25">
      <c r="A13" s="4">
        <v>12</v>
      </c>
      <c r="B13" s="133" t="s">
        <v>12</v>
      </c>
      <c r="C13" s="134">
        <v>39142</v>
      </c>
      <c r="D13" s="103">
        <v>45975</v>
      </c>
      <c r="E13" s="103">
        <v>45979</v>
      </c>
      <c r="F13" s="103"/>
      <c r="G13" s="103"/>
      <c r="H13" s="103"/>
      <c r="I13" s="103"/>
      <c r="J13" s="58">
        <f t="shared" si="0"/>
        <v>4</v>
      </c>
      <c r="K13" s="58">
        <f t="shared" si="1"/>
        <v>0</v>
      </c>
      <c r="L13" s="58">
        <f t="shared" si="2"/>
        <v>0</v>
      </c>
      <c r="M13" s="58">
        <f t="shared" si="3"/>
        <v>4</v>
      </c>
      <c r="N13" s="58"/>
    </row>
    <row r="14" spans="1:14" x14ac:dyDescent="0.25">
      <c r="A14" s="4">
        <v>13</v>
      </c>
      <c r="B14" s="133" t="s">
        <v>500</v>
      </c>
      <c r="C14" s="134">
        <v>42036</v>
      </c>
      <c r="D14" s="103"/>
      <c r="E14" s="103"/>
      <c r="F14" s="103"/>
      <c r="G14" s="103"/>
      <c r="H14" s="103"/>
      <c r="I14" s="103"/>
      <c r="J14" s="58">
        <f t="shared" si="0"/>
        <v>0</v>
      </c>
      <c r="K14" s="58">
        <f t="shared" si="1"/>
        <v>0</v>
      </c>
      <c r="L14" s="58">
        <f t="shared" si="2"/>
        <v>0</v>
      </c>
      <c r="M14" s="58">
        <f t="shared" si="3"/>
        <v>0</v>
      </c>
      <c r="N14" s="58"/>
    </row>
    <row r="15" spans="1:14" ht="15.75" customHeight="1" x14ac:dyDescent="0.25">
      <c r="A15" s="4">
        <v>14</v>
      </c>
      <c r="B15" s="133" t="s">
        <v>494</v>
      </c>
      <c r="C15" s="134">
        <v>44317</v>
      </c>
      <c r="D15" s="103"/>
      <c r="E15" s="103"/>
      <c r="F15" s="103"/>
      <c r="G15" s="103"/>
      <c r="H15" s="103"/>
      <c r="I15" s="103"/>
      <c r="J15" s="58">
        <f t="shared" si="0"/>
        <v>0</v>
      </c>
      <c r="K15" s="58">
        <f t="shared" si="1"/>
        <v>0</v>
      </c>
      <c r="L15" s="58">
        <f t="shared" si="2"/>
        <v>0</v>
      </c>
      <c r="M15" s="58">
        <f t="shared" si="3"/>
        <v>0</v>
      </c>
      <c r="N15" s="58"/>
    </row>
    <row r="16" spans="1:14" x14ac:dyDescent="0.25">
      <c r="A16" s="4">
        <v>15</v>
      </c>
      <c r="B16" s="133" t="s">
        <v>501</v>
      </c>
      <c r="C16" s="134">
        <v>39083</v>
      </c>
      <c r="D16" s="103"/>
      <c r="E16" s="103"/>
      <c r="F16" s="103"/>
      <c r="G16" s="103"/>
      <c r="H16" s="103"/>
      <c r="I16" s="103"/>
      <c r="J16" s="58">
        <f t="shared" si="0"/>
        <v>0</v>
      </c>
      <c r="K16" s="58">
        <f t="shared" si="1"/>
        <v>0</v>
      </c>
      <c r="L16" s="58">
        <f t="shared" si="2"/>
        <v>0</v>
      </c>
      <c r="M16" s="58">
        <f t="shared" si="3"/>
        <v>0</v>
      </c>
      <c r="N16" s="58"/>
    </row>
    <row r="17" spans="1:14" x14ac:dyDescent="0.25">
      <c r="A17" s="4">
        <v>16</v>
      </c>
      <c r="B17" s="133" t="s">
        <v>502</v>
      </c>
      <c r="C17" s="134">
        <v>41334</v>
      </c>
      <c r="D17" s="103"/>
      <c r="E17" s="103"/>
      <c r="F17" s="103"/>
      <c r="G17" s="103"/>
      <c r="H17" s="103"/>
      <c r="I17" s="103"/>
      <c r="J17" s="58">
        <f t="shared" si="0"/>
        <v>0</v>
      </c>
      <c r="K17" s="58">
        <f t="shared" si="1"/>
        <v>0</v>
      </c>
      <c r="L17" s="58">
        <f t="shared" si="2"/>
        <v>0</v>
      </c>
      <c r="M17" s="58">
        <f t="shared" si="3"/>
        <v>0</v>
      </c>
      <c r="N17" s="58"/>
    </row>
    <row r="18" spans="1:14" x14ac:dyDescent="0.25">
      <c r="A18" s="4">
        <v>17</v>
      </c>
      <c r="B18" s="133" t="s">
        <v>503</v>
      </c>
      <c r="C18" s="134">
        <v>40483</v>
      </c>
      <c r="D18" s="103"/>
      <c r="E18" s="103"/>
      <c r="F18" s="103"/>
      <c r="G18" s="103"/>
      <c r="H18" s="103"/>
      <c r="I18" s="103"/>
      <c r="J18" s="58">
        <f t="shared" si="0"/>
        <v>0</v>
      </c>
      <c r="K18" s="58">
        <f t="shared" si="1"/>
        <v>0</v>
      </c>
      <c r="L18" s="58">
        <f t="shared" si="2"/>
        <v>0</v>
      </c>
      <c r="M18" s="58">
        <f t="shared" si="3"/>
        <v>0</v>
      </c>
      <c r="N18" s="58"/>
    </row>
    <row r="19" spans="1:14" x14ac:dyDescent="0.25">
      <c r="A19" s="4">
        <v>18</v>
      </c>
      <c r="B19" s="133" t="s">
        <v>504</v>
      </c>
      <c r="C19" s="134">
        <v>44652</v>
      </c>
      <c r="D19" s="103">
        <v>45673</v>
      </c>
      <c r="E19" s="103">
        <v>45690</v>
      </c>
      <c r="F19" s="103"/>
      <c r="G19" s="103"/>
      <c r="H19" s="103"/>
      <c r="I19" s="103"/>
      <c r="J19" s="58">
        <f t="shared" si="0"/>
        <v>17</v>
      </c>
      <c r="K19" s="58">
        <f t="shared" si="1"/>
        <v>0</v>
      </c>
      <c r="L19" s="58">
        <f t="shared" si="2"/>
        <v>0</v>
      </c>
      <c r="M19" s="58">
        <f t="shared" si="3"/>
        <v>17</v>
      </c>
      <c r="N19" s="58"/>
    </row>
    <row r="20" spans="1:14" x14ac:dyDescent="0.25">
      <c r="A20" s="4">
        <v>19</v>
      </c>
      <c r="B20" s="133" t="s">
        <v>505</v>
      </c>
      <c r="C20" s="134">
        <v>44652</v>
      </c>
      <c r="D20" s="103">
        <v>45756</v>
      </c>
      <c r="E20" s="103">
        <v>45777</v>
      </c>
      <c r="F20" s="103"/>
      <c r="G20" s="103"/>
      <c r="H20" s="103"/>
      <c r="I20" s="103"/>
      <c r="J20" s="58">
        <f t="shared" si="0"/>
        <v>21</v>
      </c>
      <c r="K20" s="58">
        <f t="shared" si="1"/>
        <v>0</v>
      </c>
      <c r="L20" s="58">
        <f t="shared" si="2"/>
        <v>0</v>
      </c>
      <c r="M20" s="58">
        <f t="shared" si="3"/>
        <v>21</v>
      </c>
      <c r="N20" s="58"/>
    </row>
    <row r="21" spans="1:14" x14ac:dyDescent="0.25">
      <c r="A21" s="4">
        <v>20</v>
      </c>
      <c r="B21" s="133" t="s">
        <v>506</v>
      </c>
      <c r="C21" s="134">
        <v>44652</v>
      </c>
      <c r="D21" s="103"/>
      <c r="E21" s="103"/>
      <c r="F21" s="103"/>
      <c r="G21" s="103"/>
      <c r="H21" s="103"/>
      <c r="I21" s="103"/>
      <c r="J21" s="58">
        <f t="shared" si="0"/>
        <v>0</v>
      </c>
      <c r="K21" s="58">
        <f t="shared" si="1"/>
        <v>0</v>
      </c>
      <c r="L21" s="58">
        <f t="shared" si="2"/>
        <v>0</v>
      </c>
      <c r="M21" s="58">
        <f t="shared" si="3"/>
        <v>0</v>
      </c>
      <c r="N21" s="58"/>
    </row>
    <row r="22" spans="1:14" x14ac:dyDescent="0.25">
      <c r="A22" s="4">
        <v>21</v>
      </c>
      <c r="B22" s="133" t="s">
        <v>507</v>
      </c>
      <c r="C22" s="134">
        <v>41244</v>
      </c>
      <c r="D22" s="103">
        <v>45780</v>
      </c>
      <c r="E22" s="103">
        <v>45826</v>
      </c>
      <c r="F22" s="103"/>
      <c r="G22" s="103"/>
      <c r="H22" s="103"/>
      <c r="I22" s="103"/>
      <c r="J22" s="58">
        <f t="shared" si="0"/>
        <v>46</v>
      </c>
      <c r="K22" s="58">
        <f t="shared" si="1"/>
        <v>0</v>
      </c>
      <c r="L22" s="58">
        <f t="shared" si="2"/>
        <v>0</v>
      </c>
      <c r="M22" s="58">
        <f t="shared" si="3"/>
        <v>46</v>
      </c>
      <c r="N22" s="58"/>
    </row>
    <row r="23" spans="1:14" x14ac:dyDescent="0.25">
      <c r="A23" s="4">
        <v>22</v>
      </c>
      <c r="B23" s="133" t="s">
        <v>510</v>
      </c>
      <c r="C23" s="134">
        <v>41913</v>
      </c>
      <c r="D23" s="103">
        <v>45761</v>
      </c>
      <c r="E23" s="103">
        <v>45770</v>
      </c>
      <c r="F23" s="103"/>
      <c r="G23" s="103"/>
      <c r="H23" s="103"/>
      <c r="I23" s="103"/>
      <c r="J23" s="58">
        <f t="shared" si="0"/>
        <v>9</v>
      </c>
      <c r="K23" s="58">
        <f t="shared" si="1"/>
        <v>0</v>
      </c>
      <c r="L23" s="58">
        <f t="shared" si="2"/>
        <v>0</v>
      </c>
      <c r="M23" s="58">
        <f t="shared" si="3"/>
        <v>9</v>
      </c>
      <c r="N23" s="58"/>
    </row>
    <row r="24" spans="1:14" x14ac:dyDescent="0.25">
      <c r="A24" s="4">
        <v>23</v>
      </c>
      <c r="B24" s="133" t="s">
        <v>512</v>
      </c>
      <c r="C24" s="134">
        <v>41760</v>
      </c>
      <c r="D24" s="103">
        <v>45680</v>
      </c>
      <c r="E24" s="103">
        <v>45688</v>
      </c>
      <c r="F24" s="103"/>
      <c r="G24" s="103"/>
      <c r="H24" s="103"/>
      <c r="I24" s="103"/>
      <c r="J24" s="58">
        <f t="shared" si="0"/>
        <v>8</v>
      </c>
      <c r="K24" s="58">
        <f t="shared" si="1"/>
        <v>0</v>
      </c>
      <c r="L24" s="58">
        <f t="shared" si="2"/>
        <v>0</v>
      </c>
      <c r="M24" s="58">
        <f t="shared" si="3"/>
        <v>8</v>
      </c>
      <c r="N24" s="58"/>
    </row>
    <row r="25" spans="1:14" x14ac:dyDescent="0.25">
      <c r="A25" s="4">
        <v>24</v>
      </c>
      <c r="B25" s="133" t="s">
        <v>514</v>
      </c>
      <c r="C25" s="134">
        <v>40878</v>
      </c>
      <c r="D25" s="103"/>
      <c r="E25" s="103"/>
      <c r="F25" s="103"/>
      <c r="G25" s="103"/>
      <c r="H25" s="103"/>
      <c r="I25" s="103"/>
      <c r="J25" s="58">
        <f t="shared" si="0"/>
        <v>0</v>
      </c>
      <c r="K25" s="58">
        <f t="shared" si="1"/>
        <v>0</v>
      </c>
      <c r="L25" s="58">
        <f t="shared" si="2"/>
        <v>0</v>
      </c>
      <c r="M25" s="58">
        <f t="shared" si="3"/>
        <v>0</v>
      </c>
      <c r="N25" s="58"/>
    </row>
    <row r="26" spans="1:14" x14ac:dyDescent="0.25">
      <c r="A26" s="4">
        <v>25</v>
      </c>
      <c r="B26" s="133" t="s">
        <v>516</v>
      </c>
      <c r="C26" s="134">
        <v>42522</v>
      </c>
      <c r="D26" s="103">
        <v>45759</v>
      </c>
      <c r="E26" s="103">
        <v>45840</v>
      </c>
      <c r="F26" s="103"/>
      <c r="G26" s="103"/>
      <c r="H26" s="103"/>
      <c r="I26" s="103"/>
      <c r="J26" s="58">
        <f t="shared" si="0"/>
        <v>81</v>
      </c>
      <c r="K26" s="58">
        <f t="shared" si="1"/>
        <v>0</v>
      </c>
      <c r="L26" s="58">
        <f t="shared" si="2"/>
        <v>0</v>
      </c>
      <c r="M26" s="58">
        <f t="shared" si="3"/>
        <v>81</v>
      </c>
      <c r="N26" s="58"/>
    </row>
    <row r="27" spans="1:14" x14ac:dyDescent="0.25">
      <c r="A27" s="4">
        <v>26</v>
      </c>
      <c r="B27" s="133" t="s">
        <v>519</v>
      </c>
      <c r="C27" s="134">
        <v>42675</v>
      </c>
      <c r="D27" s="103">
        <v>45798</v>
      </c>
      <c r="E27" s="103">
        <v>45839</v>
      </c>
      <c r="F27" s="103"/>
      <c r="G27" s="103"/>
      <c r="H27" s="103"/>
      <c r="I27" s="103"/>
      <c r="J27" s="58">
        <f t="shared" si="0"/>
        <v>41</v>
      </c>
      <c r="K27" s="58">
        <f t="shared" si="1"/>
        <v>0</v>
      </c>
      <c r="L27" s="58">
        <f t="shared" si="2"/>
        <v>0</v>
      </c>
      <c r="M27" s="58">
        <f t="shared" si="3"/>
        <v>41</v>
      </c>
      <c r="N27" s="58"/>
    </row>
    <row r="28" spans="1:14" x14ac:dyDescent="0.25">
      <c r="A28" s="4">
        <v>27</v>
      </c>
      <c r="B28" s="133" t="s">
        <v>675</v>
      </c>
      <c r="C28" s="134">
        <v>42948</v>
      </c>
      <c r="D28" s="103"/>
      <c r="E28" s="103"/>
      <c r="F28" s="103"/>
      <c r="G28" s="103"/>
      <c r="H28" s="103"/>
      <c r="I28" s="103"/>
      <c r="J28" s="58">
        <f t="shared" si="0"/>
        <v>0</v>
      </c>
      <c r="K28" s="58">
        <f t="shared" si="1"/>
        <v>0</v>
      </c>
      <c r="L28" s="58">
        <f t="shared" si="2"/>
        <v>0</v>
      </c>
      <c r="M28" s="58">
        <f t="shared" si="3"/>
        <v>0</v>
      </c>
      <c r="N28" s="58"/>
    </row>
    <row r="29" spans="1:14" x14ac:dyDescent="0.25">
      <c r="A29" s="4">
        <v>28</v>
      </c>
      <c r="B29" s="133" t="s">
        <v>599</v>
      </c>
      <c r="C29" s="134">
        <v>42979</v>
      </c>
      <c r="D29" s="103">
        <v>45785</v>
      </c>
      <c r="E29" s="103">
        <v>45817</v>
      </c>
      <c r="F29" s="103"/>
      <c r="G29" s="103"/>
      <c r="H29" s="103"/>
      <c r="I29" s="103"/>
      <c r="J29" s="58">
        <f t="shared" si="0"/>
        <v>32</v>
      </c>
      <c r="K29" s="58">
        <f t="shared" si="1"/>
        <v>0</v>
      </c>
      <c r="L29" s="58">
        <f t="shared" si="2"/>
        <v>0</v>
      </c>
      <c r="M29" s="58">
        <f t="shared" si="3"/>
        <v>32</v>
      </c>
      <c r="N29" s="58"/>
    </row>
    <row r="30" spans="1:14" x14ac:dyDescent="0.25">
      <c r="A30" s="4">
        <v>29</v>
      </c>
      <c r="B30" s="133" t="s">
        <v>521</v>
      </c>
      <c r="C30" s="134">
        <v>43101</v>
      </c>
      <c r="D30" s="103"/>
      <c r="E30" s="103"/>
      <c r="F30" s="103"/>
      <c r="G30" s="103"/>
      <c r="H30" s="103"/>
      <c r="I30" s="103"/>
      <c r="J30" s="58">
        <f t="shared" si="0"/>
        <v>0</v>
      </c>
      <c r="K30" s="58">
        <f t="shared" si="1"/>
        <v>0</v>
      </c>
      <c r="L30" s="58">
        <f t="shared" si="2"/>
        <v>0</v>
      </c>
      <c r="M30" s="58">
        <f t="shared" si="3"/>
        <v>0</v>
      </c>
      <c r="N30" s="58"/>
    </row>
    <row r="31" spans="1:14" x14ac:dyDescent="0.25">
      <c r="A31" s="4">
        <v>30</v>
      </c>
      <c r="B31" s="133" t="s">
        <v>522</v>
      </c>
      <c r="C31" s="134">
        <v>43101</v>
      </c>
      <c r="D31" s="103"/>
      <c r="E31" s="103"/>
      <c r="F31" s="103"/>
      <c r="G31" s="103"/>
      <c r="H31" s="103"/>
      <c r="I31" s="103"/>
      <c r="J31" s="58">
        <f t="shared" si="0"/>
        <v>0</v>
      </c>
      <c r="K31" s="58">
        <f t="shared" si="1"/>
        <v>0</v>
      </c>
      <c r="L31" s="58">
        <f t="shared" si="2"/>
        <v>0</v>
      </c>
      <c r="M31" s="58">
        <f t="shared" si="3"/>
        <v>0</v>
      </c>
      <c r="N31" s="58"/>
    </row>
    <row r="32" spans="1:14" x14ac:dyDescent="0.25">
      <c r="A32" s="4">
        <v>31</v>
      </c>
      <c r="B32" s="133" t="s">
        <v>523</v>
      </c>
      <c r="C32" s="134">
        <v>43132</v>
      </c>
      <c r="D32" s="103"/>
      <c r="E32" s="103"/>
      <c r="F32" s="103"/>
      <c r="G32" s="103"/>
      <c r="H32" s="103"/>
      <c r="I32" s="103"/>
      <c r="J32" s="58">
        <f t="shared" si="0"/>
        <v>0</v>
      </c>
      <c r="K32" s="58">
        <f t="shared" si="1"/>
        <v>0</v>
      </c>
      <c r="L32" s="58">
        <f t="shared" si="2"/>
        <v>0</v>
      </c>
      <c r="M32" s="58">
        <f t="shared" si="3"/>
        <v>0</v>
      </c>
      <c r="N32" s="58"/>
    </row>
    <row r="33" spans="1:14" x14ac:dyDescent="0.25">
      <c r="A33" s="4">
        <v>32</v>
      </c>
      <c r="B33" s="133" t="s">
        <v>524</v>
      </c>
      <c r="C33" s="134">
        <v>43191</v>
      </c>
      <c r="D33" s="103">
        <v>45722</v>
      </c>
      <c r="E33" s="103">
        <v>45783</v>
      </c>
      <c r="F33" s="103"/>
      <c r="G33" s="103"/>
      <c r="H33" s="103"/>
      <c r="I33" s="103"/>
      <c r="J33" s="58">
        <f t="shared" si="0"/>
        <v>61</v>
      </c>
      <c r="K33" s="58">
        <f t="shared" si="1"/>
        <v>0</v>
      </c>
      <c r="L33" s="58">
        <f t="shared" si="2"/>
        <v>0</v>
      </c>
      <c r="M33" s="58">
        <f t="shared" si="3"/>
        <v>61</v>
      </c>
      <c r="N33" s="58"/>
    </row>
    <row r="34" spans="1:14" x14ac:dyDescent="0.25">
      <c r="A34" s="4">
        <v>33</v>
      </c>
      <c r="B34" s="133" t="s">
        <v>526</v>
      </c>
      <c r="C34" s="134">
        <v>43282</v>
      </c>
      <c r="D34" s="103">
        <v>45946</v>
      </c>
      <c r="E34" s="103">
        <v>45953</v>
      </c>
      <c r="F34" s="103"/>
      <c r="G34" s="103"/>
      <c r="H34" s="103"/>
      <c r="I34" s="103"/>
      <c r="J34" s="58">
        <f t="shared" si="0"/>
        <v>7</v>
      </c>
      <c r="K34" s="58">
        <f t="shared" si="1"/>
        <v>0</v>
      </c>
      <c r="L34" s="58">
        <f t="shared" si="2"/>
        <v>0</v>
      </c>
      <c r="M34" s="58">
        <f t="shared" si="3"/>
        <v>7</v>
      </c>
      <c r="N34" s="58"/>
    </row>
    <row r="35" spans="1:14" x14ac:dyDescent="0.25">
      <c r="A35" s="4">
        <v>34</v>
      </c>
      <c r="B35" s="133" t="s">
        <v>527</v>
      </c>
      <c r="C35" s="134">
        <v>43466</v>
      </c>
      <c r="D35" s="103"/>
      <c r="E35" s="103"/>
      <c r="F35" s="103"/>
      <c r="G35" s="103"/>
      <c r="H35" s="103"/>
      <c r="I35" s="103"/>
      <c r="J35" s="58">
        <f t="shared" si="0"/>
        <v>0</v>
      </c>
      <c r="K35" s="58">
        <f t="shared" si="1"/>
        <v>0</v>
      </c>
      <c r="L35" s="58">
        <f t="shared" si="2"/>
        <v>0</v>
      </c>
      <c r="M35" s="58">
        <f t="shared" si="3"/>
        <v>0</v>
      </c>
      <c r="N35" s="58"/>
    </row>
    <row r="36" spans="1:14" x14ac:dyDescent="0.25">
      <c r="A36" s="4">
        <v>35</v>
      </c>
      <c r="B36" s="133" t="s">
        <v>528</v>
      </c>
      <c r="C36" s="134">
        <v>43497</v>
      </c>
      <c r="D36" s="103"/>
      <c r="E36" s="103"/>
      <c r="F36" s="103"/>
      <c r="G36" s="103"/>
      <c r="H36" s="103"/>
      <c r="I36" s="103"/>
      <c r="J36" s="58">
        <f t="shared" si="0"/>
        <v>0</v>
      </c>
      <c r="K36" s="58">
        <f t="shared" si="1"/>
        <v>0</v>
      </c>
      <c r="L36" s="58">
        <f t="shared" si="2"/>
        <v>0</v>
      </c>
      <c r="M36" s="58">
        <f t="shared" si="3"/>
        <v>0</v>
      </c>
      <c r="N36" s="58"/>
    </row>
    <row r="37" spans="1:14" x14ac:dyDescent="0.25">
      <c r="A37" s="4">
        <v>36</v>
      </c>
      <c r="B37" s="133" t="s">
        <v>530</v>
      </c>
      <c r="C37" s="134">
        <v>43617</v>
      </c>
      <c r="D37" s="103"/>
      <c r="E37" s="103"/>
      <c r="F37" s="103"/>
      <c r="G37" s="103"/>
      <c r="H37" s="103"/>
      <c r="I37" s="103"/>
      <c r="J37" s="58">
        <f t="shared" si="0"/>
        <v>0</v>
      </c>
      <c r="K37" s="58">
        <f t="shared" si="1"/>
        <v>0</v>
      </c>
      <c r="L37" s="58">
        <f t="shared" si="2"/>
        <v>0</v>
      </c>
      <c r="M37" s="58">
        <f t="shared" si="3"/>
        <v>0</v>
      </c>
      <c r="N37" s="58"/>
    </row>
    <row r="38" spans="1:14" x14ac:dyDescent="0.25">
      <c r="A38" s="4">
        <v>37</v>
      </c>
      <c r="B38" s="133" t="s">
        <v>531</v>
      </c>
      <c r="C38" s="134">
        <v>43617</v>
      </c>
      <c r="D38" s="103">
        <v>45749</v>
      </c>
      <c r="E38" s="103">
        <v>45767</v>
      </c>
      <c r="F38" s="103"/>
      <c r="G38" s="103"/>
      <c r="H38" s="103"/>
      <c r="I38" s="103"/>
      <c r="J38" s="58">
        <f t="shared" si="0"/>
        <v>18</v>
      </c>
      <c r="K38" s="58">
        <f t="shared" si="1"/>
        <v>0</v>
      </c>
      <c r="L38" s="58">
        <f t="shared" si="2"/>
        <v>0</v>
      </c>
      <c r="M38" s="58">
        <f t="shared" si="3"/>
        <v>18</v>
      </c>
      <c r="N38" s="58"/>
    </row>
    <row r="39" spans="1:14" x14ac:dyDescent="0.25">
      <c r="A39" s="4">
        <v>38</v>
      </c>
      <c r="B39" s="133" t="s">
        <v>533</v>
      </c>
      <c r="C39" s="134">
        <v>43617</v>
      </c>
      <c r="D39" s="103"/>
      <c r="E39" s="103"/>
      <c r="F39" s="103"/>
      <c r="G39" s="103"/>
      <c r="H39" s="103"/>
      <c r="I39" s="103"/>
      <c r="J39" s="58">
        <f t="shared" si="0"/>
        <v>0</v>
      </c>
      <c r="K39" s="58">
        <f t="shared" si="1"/>
        <v>0</v>
      </c>
      <c r="L39" s="58">
        <f t="shared" si="2"/>
        <v>0</v>
      </c>
      <c r="M39" s="58">
        <f t="shared" si="3"/>
        <v>0</v>
      </c>
      <c r="N39" s="58"/>
    </row>
    <row r="40" spans="1:14" x14ac:dyDescent="0.25">
      <c r="A40" s="4">
        <v>39</v>
      </c>
      <c r="B40" s="133" t="s">
        <v>278</v>
      </c>
      <c r="C40" s="134">
        <v>43739</v>
      </c>
      <c r="D40" s="103">
        <v>45658</v>
      </c>
      <c r="E40" s="103">
        <v>45717</v>
      </c>
      <c r="F40" s="103"/>
      <c r="G40" s="103"/>
      <c r="H40" s="103"/>
      <c r="I40" s="103"/>
      <c r="J40" s="58">
        <f t="shared" si="0"/>
        <v>59</v>
      </c>
      <c r="K40" s="58">
        <f t="shared" si="1"/>
        <v>0</v>
      </c>
      <c r="L40" s="58">
        <f t="shared" si="2"/>
        <v>0</v>
      </c>
      <c r="M40" s="58">
        <f t="shared" si="3"/>
        <v>59</v>
      </c>
      <c r="N40" s="58"/>
    </row>
    <row r="41" spans="1:14" x14ac:dyDescent="0.25">
      <c r="A41" s="4">
        <v>40</v>
      </c>
      <c r="B41" s="133" t="s">
        <v>537</v>
      </c>
      <c r="C41" s="134">
        <v>44105</v>
      </c>
      <c r="D41" s="103"/>
      <c r="E41" s="103"/>
      <c r="F41" s="103"/>
      <c r="G41" s="103"/>
      <c r="H41" s="103"/>
      <c r="I41" s="103"/>
      <c r="J41" s="58">
        <f t="shared" si="0"/>
        <v>0</v>
      </c>
      <c r="K41" s="58">
        <f t="shared" si="1"/>
        <v>0</v>
      </c>
      <c r="L41" s="58">
        <f t="shared" si="2"/>
        <v>0</v>
      </c>
      <c r="M41" s="58">
        <f t="shared" si="3"/>
        <v>0</v>
      </c>
      <c r="N41" s="58"/>
    </row>
    <row r="42" spans="1:14" x14ac:dyDescent="0.25">
      <c r="A42" s="4">
        <v>41</v>
      </c>
      <c r="B42" s="133" t="s">
        <v>292</v>
      </c>
      <c r="C42" s="134">
        <v>44166</v>
      </c>
      <c r="D42" s="103">
        <v>45778</v>
      </c>
      <c r="E42" s="103">
        <v>45875</v>
      </c>
      <c r="F42" s="103"/>
      <c r="G42" s="103"/>
      <c r="H42" s="103"/>
      <c r="I42" s="103"/>
      <c r="J42" s="58">
        <f>E42-D42</f>
        <v>97</v>
      </c>
      <c r="K42" s="58">
        <f t="shared" si="1"/>
        <v>0</v>
      </c>
      <c r="L42" s="58">
        <f t="shared" si="2"/>
        <v>0</v>
      </c>
      <c r="M42" s="58">
        <f t="shared" si="3"/>
        <v>97</v>
      </c>
      <c r="N42" s="58"/>
    </row>
    <row r="43" spans="1:14" x14ac:dyDescent="0.25">
      <c r="A43" s="4">
        <v>42</v>
      </c>
      <c r="B43" s="133" t="s">
        <v>538</v>
      </c>
      <c r="C43" s="134">
        <v>44166</v>
      </c>
      <c r="D43" s="103">
        <v>45749</v>
      </c>
      <c r="E43" s="103">
        <v>45840</v>
      </c>
      <c r="F43" s="103"/>
      <c r="G43" s="103"/>
      <c r="H43" s="103"/>
      <c r="I43" s="103"/>
      <c r="J43" s="58">
        <f t="shared" si="0"/>
        <v>91</v>
      </c>
      <c r="K43" s="58">
        <f t="shared" si="1"/>
        <v>0</v>
      </c>
      <c r="L43" s="58">
        <f t="shared" si="2"/>
        <v>0</v>
      </c>
      <c r="M43" s="58">
        <f t="shared" si="3"/>
        <v>91</v>
      </c>
      <c r="N43" s="58"/>
    </row>
    <row r="44" spans="1:14" x14ac:dyDescent="0.25">
      <c r="A44" s="4">
        <v>43</v>
      </c>
      <c r="B44" s="133" t="s">
        <v>540</v>
      </c>
      <c r="C44" s="134">
        <v>44197</v>
      </c>
      <c r="D44" s="103">
        <v>45905</v>
      </c>
      <c r="E44" s="103">
        <v>45936</v>
      </c>
      <c r="F44" s="103"/>
      <c r="G44" s="103"/>
      <c r="H44" s="103"/>
      <c r="I44" s="103"/>
      <c r="J44" s="58">
        <f t="shared" si="0"/>
        <v>31</v>
      </c>
      <c r="K44" s="58">
        <f t="shared" si="1"/>
        <v>0</v>
      </c>
      <c r="L44" s="58">
        <f t="shared" si="2"/>
        <v>0</v>
      </c>
      <c r="M44" s="58">
        <f t="shared" si="3"/>
        <v>31</v>
      </c>
      <c r="N44" s="58"/>
    </row>
    <row r="45" spans="1:14" x14ac:dyDescent="0.25">
      <c r="A45" s="4">
        <v>44</v>
      </c>
      <c r="B45" s="133" t="s">
        <v>541</v>
      </c>
      <c r="C45" s="134">
        <v>44197</v>
      </c>
      <c r="D45" s="103"/>
      <c r="E45" s="103"/>
      <c r="F45" s="103"/>
      <c r="G45" s="103"/>
      <c r="H45" s="103"/>
      <c r="I45" s="103"/>
      <c r="J45" s="58">
        <f t="shared" si="0"/>
        <v>0</v>
      </c>
      <c r="K45" s="58">
        <f t="shared" si="1"/>
        <v>0</v>
      </c>
      <c r="L45" s="58">
        <f t="shared" si="2"/>
        <v>0</v>
      </c>
      <c r="M45" s="58">
        <f t="shared" si="3"/>
        <v>0</v>
      </c>
      <c r="N45" s="58"/>
    </row>
    <row r="46" spans="1:14" x14ac:dyDescent="0.25">
      <c r="A46" s="4">
        <v>45</v>
      </c>
      <c r="B46" s="133" t="s">
        <v>305</v>
      </c>
      <c r="C46" s="134">
        <v>44287</v>
      </c>
      <c r="D46" s="103">
        <v>45930</v>
      </c>
      <c r="E46" s="103">
        <v>45984</v>
      </c>
      <c r="F46" s="103"/>
      <c r="G46" s="103"/>
      <c r="H46" s="103"/>
      <c r="I46" s="103"/>
      <c r="J46" s="58">
        <f t="shared" si="0"/>
        <v>54</v>
      </c>
      <c r="K46" s="58">
        <f t="shared" si="1"/>
        <v>0</v>
      </c>
      <c r="L46" s="58">
        <f t="shared" si="2"/>
        <v>0</v>
      </c>
      <c r="M46" s="58">
        <f t="shared" si="3"/>
        <v>54</v>
      </c>
      <c r="N46" s="58"/>
    </row>
    <row r="47" spans="1:14" x14ac:dyDescent="0.25">
      <c r="A47" s="4">
        <v>46</v>
      </c>
      <c r="B47" s="133" t="s">
        <v>308</v>
      </c>
      <c r="C47" s="134">
        <v>44378</v>
      </c>
      <c r="D47" s="103">
        <v>45672</v>
      </c>
      <c r="E47" s="103">
        <v>45765</v>
      </c>
      <c r="F47" s="103"/>
      <c r="G47" s="103"/>
      <c r="H47" s="103"/>
      <c r="I47" s="103"/>
      <c r="J47" s="58">
        <f t="shared" si="0"/>
        <v>93</v>
      </c>
      <c r="K47" s="58">
        <f t="shared" si="1"/>
        <v>0</v>
      </c>
      <c r="L47" s="58">
        <f t="shared" si="2"/>
        <v>0</v>
      </c>
      <c r="M47" s="58">
        <f t="shared" si="3"/>
        <v>93</v>
      </c>
      <c r="N47" s="58"/>
    </row>
    <row r="48" spans="1:14" x14ac:dyDescent="0.25">
      <c r="A48" s="4">
        <v>47</v>
      </c>
      <c r="B48" s="133" t="s">
        <v>546</v>
      </c>
      <c r="C48" s="134">
        <v>44378</v>
      </c>
      <c r="D48" s="103"/>
      <c r="E48" s="103"/>
      <c r="F48" s="103"/>
      <c r="G48" s="103"/>
      <c r="H48" s="103"/>
      <c r="I48" s="103"/>
      <c r="J48" s="58">
        <f t="shared" si="0"/>
        <v>0</v>
      </c>
      <c r="K48" s="58">
        <f t="shared" si="1"/>
        <v>0</v>
      </c>
      <c r="L48" s="58">
        <f t="shared" si="2"/>
        <v>0</v>
      </c>
      <c r="M48" s="58">
        <f t="shared" si="3"/>
        <v>0</v>
      </c>
      <c r="N48" s="58"/>
    </row>
    <row r="49" spans="1:14" x14ac:dyDescent="0.25">
      <c r="A49" s="4">
        <v>48</v>
      </c>
      <c r="B49" s="133" t="s">
        <v>547</v>
      </c>
      <c r="C49" s="134">
        <v>44409</v>
      </c>
      <c r="D49" s="103"/>
      <c r="E49" s="103"/>
      <c r="F49" s="103"/>
      <c r="G49" s="103"/>
      <c r="H49" s="103"/>
      <c r="I49" s="103"/>
      <c r="J49" s="58">
        <f t="shared" si="0"/>
        <v>0</v>
      </c>
      <c r="K49" s="58">
        <f t="shared" si="1"/>
        <v>0</v>
      </c>
      <c r="L49" s="58">
        <f t="shared" si="2"/>
        <v>0</v>
      </c>
      <c r="M49" s="58">
        <f t="shared" si="3"/>
        <v>0</v>
      </c>
      <c r="N49" s="58"/>
    </row>
    <row r="50" spans="1:14" x14ac:dyDescent="0.25">
      <c r="A50" s="4">
        <v>49</v>
      </c>
      <c r="B50" s="133" t="s">
        <v>548</v>
      </c>
      <c r="C50" s="134">
        <v>44378</v>
      </c>
      <c r="D50" s="103">
        <v>46007</v>
      </c>
      <c r="E50" s="103">
        <v>46022</v>
      </c>
      <c r="F50" s="103"/>
      <c r="G50" s="103"/>
      <c r="H50" s="103"/>
      <c r="I50" s="103"/>
      <c r="J50" s="58">
        <f t="shared" si="0"/>
        <v>15</v>
      </c>
      <c r="K50" s="58">
        <f t="shared" si="1"/>
        <v>0</v>
      </c>
      <c r="L50" s="58">
        <f t="shared" si="2"/>
        <v>0</v>
      </c>
      <c r="M50" s="58">
        <f t="shared" si="3"/>
        <v>15</v>
      </c>
      <c r="N50" s="58"/>
    </row>
    <row r="51" spans="1:14" x14ac:dyDescent="0.25">
      <c r="A51" s="4">
        <v>50</v>
      </c>
      <c r="B51" s="133" t="s">
        <v>550</v>
      </c>
      <c r="C51" s="134">
        <v>44470</v>
      </c>
      <c r="D51" s="103"/>
      <c r="E51" s="103"/>
      <c r="F51" s="103"/>
      <c r="G51" s="103"/>
      <c r="H51" s="103"/>
      <c r="I51" s="103"/>
      <c r="J51" s="58">
        <f t="shared" si="0"/>
        <v>0</v>
      </c>
      <c r="K51" s="58">
        <f t="shared" si="1"/>
        <v>0</v>
      </c>
      <c r="L51" s="58">
        <f t="shared" si="2"/>
        <v>0</v>
      </c>
      <c r="M51" s="58">
        <f t="shared" si="3"/>
        <v>0</v>
      </c>
      <c r="N51" s="58"/>
    </row>
    <row r="52" spans="1:14" x14ac:dyDescent="0.25">
      <c r="A52" s="4">
        <v>51</v>
      </c>
      <c r="B52" s="133" t="s">
        <v>551</v>
      </c>
      <c r="C52" s="134">
        <v>44470</v>
      </c>
      <c r="D52" s="103"/>
      <c r="E52" s="103"/>
      <c r="F52" s="103"/>
      <c r="G52" s="103"/>
      <c r="H52" s="103"/>
      <c r="I52" s="103"/>
      <c r="J52" s="58">
        <f t="shared" si="0"/>
        <v>0</v>
      </c>
      <c r="K52" s="58">
        <f t="shared" si="1"/>
        <v>0</v>
      </c>
      <c r="L52" s="58">
        <f t="shared" si="2"/>
        <v>0</v>
      </c>
      <c r="M52" s="58">
        <f t="shared" si="3"/>
        <v>0</v>
      </c>
      <c r="N52" s="58"/>
    </row>
    <row r="53" spans="1:14" x14ac:dyDescent="0.25">
      <c r="A53" s="4">
        <v>52</v>
      </c>
      <c r="B53" s="133" t="s">
        <v>552</v>
      </c>
      <c r="C53" s="134">
        <v>44470</v>
      </c>
      <c r="D53" s="103">
        <v>45733</v>
      </c>
      <c r="E53" s="103">
        <v>45778</v>
      </c>
      <c r="F53" s="103"/>
      <c r="G53" s="103"/>
      <c r="H53" s="103"/>
      <c r="I53" s="103"/>
      <c r="J53" s="58">
        <f t="shared" si="0"/>
        <v>45</v>
      </c>
      <c r="K53" s="58">
        <f t="shared" si="1"/>
        <v>0</v>
      </c>
      <c r="L53" s="58">
        <f t="shared" si="2"/>
        <v>0</v>
      </c>
      <c r="M53" s="58">
        <f t="shared" si="3"/>
        <v>45</v>
      </c>
      <c r="N53" s="58"/>
    </row>
    <row r="54" spans="1:14" x14ac:dyDescent="0.25">
      <c r="A54" s="4">
        <v>53</v>
      </c>
      <c r="B54" s="133" t="s">
        <v>553</v>
      </c>
      <c r="C54" s="134">
        <v>44470</v>
      </c>
      <c r="D54" s="103"/>
      <c r="E54" s="103"/>
      <c r="F54" s="103"/>
      <c r="G54" s="103"/>
      <c r="H54" s="103"/>
      <c r="I54" s="103"/>
      <c r="J54" s="58">
        <f t="shared" si="0"/>
        <v>0</v>
      </c>
      <c r="K54" s="58">
        <f t="shared" si="1"/>
        <v>0</v>
      </c>
      <c r="L54" s="58">
        <f t="shared" si="2"/>
        <v>0</v>
      </c>
      <c r="M54" s="58">
        <f t="shared" si="3"/>
        <v>0</v>
      </c>
      <c r="N54" s="58"/>
    </row>
    <row r="55" spans="1:14" x14ac:dyDescent="0.25">
      <c r="A55" s="4">
        <v>54</v>
      </c>
      <c r="B55" s="133" t="s">
        <v>554</v>
      </c>
      <c r="C55" s="134">
        <v>44607</v>
      </c>
      <c r="D55" s="103">
        <v>45869</v>
      </c>
      <c r="E55" s="103">
        <v>45930</v>
      </c>
      <c r="F55" s="103"/>
      <c r="G55" s="103"/>
      <c r="H55" s="103"/>
      <c r="I55" s="103"/>
      <c r="J55" s="58">
        <f t="shared" si="0"/>
        <v>61</v>
      </c>
      <c r="K55" s="58">
        <f t="shared" si="1"/>
        <v>0</v>
      </c>
      <c r="L55" s="58">
        <f t="shared" si="2"/>
        <v>0</v>
      </c>
      <c r="M55" s="58">
        <f t="shared" si="3"/>
        <v>61</v>
      </c>
      <c r="N55" s="58"/>
    </row>
    <row r="56" spans="1:14" x14ac:dyDescent="0.25">
      <c r="A56" s="4">
        <v>55</v>
      </c>
      <c r="B56" s="133" t="s">
        <v>555</v>
      </c>
      <c r="C56" s="134">
        <v>44593</v>
      </c>
      <c r="D56" s="103"/>
      <c r="E56" s="103"/>
      <c r="F56" s="103"/>
      <c r="G56" s="103"/>
      <c r="H56" s="103"/>
      <c r="I56" s="103"/>
      <c r="J56" s="58">
        <f t="shared" si="0"/>
        <v>0</v>
      </c>
      <c r="K56" s="58">
        <f t="shared" si="1"/>
        <v>0</v>
      </c>
      <c r="L56" s="58">
        <f t="shared" si="2"/>
        <v>0</v>
      </c>
      <c r="M56" s="58">
        <f t="shared" si="3"/>
        <v>0</v>
      </c>
      <c r="N56" s="58"/>
    </row>
    <row r="57" spans="1:14" x14ac:dyDescent="0.25">
      <c r="A57" s="4">
        <v>56</v>
      </c>
      <c r="B57" s="133" t="s">
        <v>557</v>
      </c>
      <c r="C57" s="134">
        <v>44652</v>
      </c>
      <c r="D57" s="103">
        <v>45805</v>
      </c>
      <c r="E57" s="103">
        <v>45916</v>
      </c>
      <c r="F57" s="103"/>
      <c r="G57" s="103"/>
      <c r="H57" s="103"/>
      <c r="I57" s="103"/>
      <c r="J57" s="58">
        <f t="shared" si="0"/>
        <v>111</v>
      </c>
      <c r="K57" s="58">
        <f t="shared" si="1"/>
        <v>0</v>
      </c>
      <c r="L57" s="58">
        <f t="shared" si="2"/>
        <v>0</v>
      </c>
      <c r="M57" s="58">
        <f t="shared" si="3"/>
        <v>111</v>
      </c>
      <c r="N57" s="58"/>
    </row>
    <row r="58" spans="1:14" x14ac:dyDescent="0.25">
      <c r="A58" s="4">
        <v>57</v>
      </c>
      <c r="B58" s="133" t="s">
        <v>559</v>
      </c>
      <c r="C58" s="134">
        <v>44652</v>
      </c>
      <c r="D58" s="103">
        <v>45726</v>
      </c>
      <c r="E58" s="103">
        <v>45734</v>
      </c>
      <c r="F58" s="103"/>
      <c r="G58" s="103"/>
      <c r="H58" s="103"/>
      <c r="I58" s="103"/>
      <c r="J58" s="58">
        <f t="shared" si="0"/>
        <v>8</v>
      </c>
      <c r="K58" s="58">
        <f t="shared" si="1"/>
        <v>0</v>
      </c>
      <c r="L58" s="58">
        <f t="shared" si="2"/>
        <v>0</v>
      </c>
      <c r="M58" s="58">
        <f t="shared" si="3"/>
        <v>8</v>
      </c>
      <c r="N58" s="58"/>
    </row>
    <row r="59" spans="1:14" x14ac:dyDescent="0.25">
      <c r="A59" s="4">
        <v>58</v>
      </c>
      <c r="B59" s="133" t="s">
        <v>560</v>
      </c>
      <c r="C59" s="134">
        <v>44652</v>
      </c>
      <c r="D59" s="103"/>
      <c r="E59" s="103"/>
      <c r="F59" s="103"/>
      <c r="G59" s="103"/>
      <c r="H59" s="103"/>
      <c r="I59" s="103"/>
      <c r="J59" s="58">
        <f t="shared" si="0"/>
        <v>0</v>
      </c>
      <c r="K59" s="58">
        <f t="shared" si="1"/>
        <v>0</v>
      </c>
      <c r="L59" s="58">
        <f t="shared" si="2"/>
        <v>0</v>
      </c>
      <c r="M59" s="58">
        <f t="shared" si="3"/>
        <v>0</v>
      </c>
      <c r="N59" s="58"/>
    </row>
    <row r="60" spans="1:14" x14ac:dyDescent="0.25">
      <c r="A60" s="4">
        <v>59</v>
      </c>
      <c r="B60" s="133" t="s">
        <v>562</v>
      </c>
      <c r="C60" s="134">
        <v>44652</v>
      </c>
      <c r="D60" s="103">
        <v>45744</v>
      </c>
      <c r="E60" s="103">
        <v>45810</v>
      </c>
      <c r="F60" s="103"/>
      <c r="G60" s="103"/>
      <c r="H60" s="103"/>
      <c r="I60" s="103"/>
      <c r="J60" s="58">
        <f t="shared" si="0"/>
        <v>66</v>
      </c>
      <c r="K60" s="58">
        <f t="shared" si="1"/>
        <v>0</v>
      </c>
      <c r="L60" s="58">
        <f t="shared" si="2"/>
        <v>0</v>
      </c>
      <c r="M60" s="58">
        <f t="shared" si="3"/>
        <v>66</v>
      </c>
      <c r="N60" s="58"/>
    </row>
    <row r="61" spans="1:14" x14ac:dyDescent="0.25">
      <c r="A61" s="4">
        <v>60</v>
      </c>
      <c r="B61" s="133" t="s">
        <v>338</v>
      </c>
      <c r="C61" s="134">
        <v>44734</v>
      </c>
      <c r="D61" s="103">
        <v>45721</v>
      </c>
      <c r="E61" s="103">
        <v>45727</v>
      </c>
      <c r="F61" s="103"/>
      <c r="G61" s="103"/>
      <c r="H61" s="103"/>
      <c r="I61" s="103"/>
      <c r="J61" s="58">
        <f t="shared" ref="J61:J121" si="4">E61-D61</f>
        <v>6</v>
      </c>
      <c r="K61" s="58">
        <f t="shared" si="1"/>
        <v>0</v>
      </c>
      <c r="L61" s="58">
        <f t="shared" si="2"/>
        <v>0</v>
      </c>
      <c r="M61" s="58">
        <f t="shared" si="3"/>
        <v>6</v>
      </c>
      <c r="N61" s="58"/>
    </row>
    <row r="62" spans="1:14" x14ac:dyDescent="0.25">
      <c r="A62" s="4">
        <v>61</v>
      </c>
      <c r="B62" s="133" t="s">
        <v>565</v>
      </c>
      <c r="C62" s="134">
        <v>44682</v>
      </c>
      <c r="D62" s="103">
        <v>45779</v>
      </c>
      <c r="E62" s="103">
        <v>45870</v>
      </c>
      <c r="F62" s="103"/>
      <c r="G62" s="103"/>
      <c r="H62" s="103"/>
      <c r="I62" s="103"/>
      <c r="J62" s="58">
        <f t="shared" si="4"/>
        <v>91</v>
      </c>
      <c r="K62" s="58">
        <f t="shared" ref="K62:K122" si="5">G62-F62</f>
        <v>0</v>
      </c>
      <c r="L62" s="58">
        <f t="shared" ref="L62:L122" si="6">I62-H62</f>
        <v>0</v>
      </c>
      <c r="M62" s="58">
        <f t="shared" si="3"/>
        <v>91</v>
      </c>
      <c r="N62" s="58"/>
    </row>
    <row r="63" spans="1:14" x14ac:dyDescent="0.25">
      <c r="A63" s="4">
        <v>62</v>
      </c>
      <c r="B63" s="133" t="s">
        <v>136</v>
      </c>
      <c r="C63" s="134">
        <v>44805</v>
      </c>
      <c r="D63" s="137">
        <v>45658</v>
      </c>
      <c r="E63" s="137">
        <v>45696</v>
      </c>
      <c r="F63" s="137">
        <v>45904</v>
      </c>
      <c r="G63" s="137">
        <v>45924</v>
      </c>
      <c r="H63" s="103"/>
      <c r="I63" s="103"/>
      <c r="J63" s="58">
        <f t="shared" si="4"/>
        <v>38</v>
      </c>
      <c r="K63" s="58">
        <f t="shared" si="5"/>
        <v>20</v>
      </c>
      <c r="L63" s="58">
        <f t="shared" si="6"/>
        <v>0</v>
      </c>
      <c r="M63" s="58">
        <f t="shared" si="3"/>
        <v>58</v>
      </c>
      <c r="N63" s="58"/>
    </row>
    <row r="64" spans="1:14" x14ac:dyDescent="0.25">
      <c r="A64" s="4">
        <v>63</v>
      </c>
      <c r="B64" s="133" t="s">
        <v>351</v>
      </c>
      <c r="C64" s="134">
        <v>44513</v>
      </c>
      <c r="D64" s="103">
        <v>45809</v>
      </c>
      <c r="E64" s="103">
        <v>45869</v>
      </c>
      <c r="F64" s="103"/>
      <c r="G64" s="103"/>
      <c r="H64" s="103"/>
      <c r="I64" s="103"/>
      <c r="J64" s="58">
        <f t="shared" si="4"/>
        <v>60</v>
      </c>
      <c r="K64" s="58">
        <f t="shared" si="5"/>
        <v>0</v>
      </c>
      <c r="L64" s="58">
        <f t="shared" si="6"/>
        <v>0</v>
      </c>
      <c r="M64" s="58">
        <f t="shared" si="3"/>
        <v>60</v>
      </c>
      <c r="N64" s="58"/>
    </row>
    <row r="65" spans="1:14" x14ac:dyDescent="0.25">
      <c r="A65" s="4">
        <v>64</v>
      </c>
      <c r="B65" s="133" t="s">
        <v>486</v>
      </c>
      <c r="C65" s="134">
        <v>44893</v>
      </c>
      <c r="D65" s="103">
        <v>45687</v>
      </c>
      <c r="E65" s="103">
        <v>45746</v>
      </c>
      <c r="F65" s="103"/>
      <c r="G65" s="103"/>
      <c r="H65" s="103"/>
      <c r="I65" s="103"/>
      <c r="J65" s="58">
        <f t="shared" si="4"/>
        <v>59</v>
      </c>
      <c r="K65" s="58">
        <f t="shared" si="5"/>
        <v>0</v>
      </c>
      <c r="L65" s="58">
        <f t="shared" si="6"/>
        <v>0</v>
      </c>
      <c r="M65" s="58">
        <f t="shared" si="3"/>
        <v>59</v>
      </c>
      <c r="N65" s="58"/>
    </row>
    <row r="66" spans="1:14" x14ac:dyDescent="0.25">
      <c r="A66" s="4">
        <v>65</v>
      </c>
      <c r="B66" s="133" t="s">
        <v>485</v>
      </c>
      <c r="C66" s="134">
        <v>44893</v>
      </c>
      <c r="D66" s="103">
        <v>45872</v>
      </c>
      <c r="E66" s="103">
        <v>45939</v>
      </c>
      <c r="F66" s="103"/>
      <c r="G66" s="103"/>
      <c r="H66" s="103"/>
      <c r="I66" s="103"/>
      <c r="J66" s="58">
        <f t="shared" si="4"/>
        <v>67</v>
      </c>
      <c r="K66" s="58">
        <f t="shared" si="5"/>
        <v>0</v>
      </c>
      <c r="L66" s="58">
        <f t="shared" si="6"/>
        <v>0</v>
      </c>
      <c r="M66" s="58">
        <f t="shared" ref="M66:M122" si="7">J66+K66+L66</f>
        <v>67</v>
      </c>
      <c r="N66" s="58"/>
    </row>
    <row r="67" spans="1:14" x14ac:dyDescent="0.25">
      <c r="A67" s="4">
        <v>66</v>
      </c>
      <c r="B67" s="133" t="s">
        <v>606</v>
      </c>
      <c r="C67" s="134">
        <v>44938</v>
      </c>
      <c r="D67" s="103">
        <v>45658</v>
      </c>
      <c r="E67" s="103">
        <v>45737</v>
      </c>
      <c r="F67" s="103"/>
      <c r="G67" s="103"/>
      <c r="H67" s="103"/>
      <c r="I67" s="103"/>
      <c r="J67" s="58">
        <f t="shared" si="4"/>
        <v>79</v>
      </c>
      <c r="K67" s="58">
        <f t="shared" si="5"/>
        <v>0</v>
      </c>
      <c r="L67" s="58">
        <f t="shared" si="6"/>
        <v>0</v>
      </c>
      <c r="M67" s="58">
        <f t="shared" si="7"/>
        <v>79</v>
      </c>
      <c r="N67" s="58"/>
    </row>
    <row r="68" spans="1:14" x14ac:dyDescent="0.25">
      <c r="A68" s="4">
        <v>67</v>
      </c>
      <c r="B68" s="133" t="s">
        <v>605</v>
      </c>
      <c r="C68" s="134">
        <v>44900</v>
      </c>
      <c r="D68" s="103">
        <v>45900</v>
      </c>
      <c r="E68" s="103">
        <v>45952</v>
      </c>
      <c r="F68" s="103"/>
      <c r="G68" s="103"/>
      <c r="H68" s="103"/>
      <c r="I68" s="103"/>
      <c r="J68" s="58">
        <f t="shared" si="4"/>
        <v>52</v>
      </c>
      <c r="K68" s="58">
        <f t="shared" si="5"/>
        <v>0</v>
      </c>
      <c r="L68" s="58">
        <f t="shared" si="6"/>
        <v>0</v>
      </c>
      <c r="M68" s="58">
        <f t="shared" si="7"/>
        <v>52</v>
      </c>
      <c r="N68" s="58"/>
    </row>
    <row r="69" spans="1:14" x14ac:dyDescent="0.25">
      <c r="A69" s="4">
        <v>68</v>
      </c>
      <c r="B69" s="133" t="s">
        <v>615</v>
      </c>
      <c r="C69" s="115">
        <v>44967</v>
      </c>
      <c r="D69" s="103"/>
      <c r="E69" s="103"/>
      <c r="F69" s="103"/>
      <c r="G69" s="103"/>
      <c r="H69" s="103"/>
      <c r="I69" s="103"/>
      <c r="J69" s="58">
        <f t="shared" si="4"/>
        <v>0</v>
      </c>
      <c r="K69" s="58">
        <f t="shared" si="5"/>
        <v>0</v>
      </c>
      <c r="L69" s="58">
        <f t="shared" si="6"/>
        <v>0</v>
      </c>
      <c r="M69" s="58">
        <f t="shared" si="7"/>
        <v>0</v>
      </c>
      <c r="N69" s="58"/>
    </row>
    <row r="70" spans="1:14" x14ac:dyDescent="0.25">
      <c r="A70" s="4">
        <v>69</v>
      </c>
      <c r="B70" s="133" t="s">
        <v>617</v>
      </c>
      <c r="C70" s="115">
        <v>45024</v>
      </c>
      <c r="D70" s="103">
        <v>45882</v>
      </c>
      <c r="E70" s="103">
        <v>45901</v>
      </c>
      <c r="F70" s="103"/>
      <c r="G70" s="103"/>
      <c r="H70" s="103"/>
      <c r="I70" s="103"/>
      <c r="J70" s="58">
        <f t="shared" si="4"/>
        <v>19</v>
      </c>
      <c r="K70" s="58">
        <f t="shared" si="5"/>
        <v>0</v>
      </c>
      <c r="L70" s="58">
        <f t="shared" si="6"/>
        <v>0</v>
      </c>
      <c r="M70" s="58">
        <f t="shared" si="7"/>
        <v>19</v>
      </c>
      <c r="N70" s="58"/>
    </row>
    <row r="71" spans="1:14" x14ac:dyDescent="0.25">
      <c r="A71" s="4">
        <v>70</v>
      </c>
      <c r="B71" s="133" t="s">
        <v>618</v>
      </c>
      <c r="C71" s="115">
        <v>45031</v>
      </c>
      <c r="D71" s="103"/>
      <c r="E71" s="103"/>
      <c r="F71" s="103"/>
      <c r="G71" s="103"/>
      <c r="H71" s="103"/>
      <c r="I71" s="103"/>
      <c r="J71" s="58">
        <f t="shared" si="4"/>
        <v>0</v>
      </c>
      <c r="K71" s="58">
        <f t="shared" si="5"/>
        <v>0</v>
      </c>
      <c r="L71" s="58">
        <f t="shared" si="6"/>
        <v>0</v>
      </c>
      <c r="M71" s="58">
        <f t="shared" si="7"/>
        <v>0</v>
      </c>
      <c r="N71" s="58"/>
    </row>
    <row r="72" spans="1:14" x14ac:dyDescent="0.25">
      <c r="A72" s="4">
        <v>71</v>
      </c>
      <c r="B72" s="133" t="s">
        <v>619</v>
      </c>
      <c r="C72" s="115">
        <v>45045</v>
      </c>
      <c r="D72" s="103"/>
      <c r="E72" s="103"/>
      <c r="F72" s="103"/>
      <c r="G72" s="103"/>
      <c r="H72" s="103"/>
      <c r="I72" s="103"/>
      <c r="J72" s="58">
        <f t="shared" si="4"/>
        <v>0</v>
      </c>
      <c r="K72" s="58">
        <f t="shared" si="5"/>
        <v>0</v>
      </c>
      <c r="L72" s="58">
        <f t="shared" si="6"/>
        <v>0</v>
      </c>
      <c r="M72" s="58">
        <f t="shared" si="7"/>
        <v>0</v>
      </c>
      <c r="N72" s="58"/>
    </row>
    <row r="73" spans="1:14" x14ac:dyDescent="0.25">
      <c r="A73" s="4">
        <v>72</v>
      </c>
      <c r="B73" s="133" t="s">
        <v>623</v>
      </c>
      <c r="C73" s="115">
        <v>45105</v>
      </c>
      <c r="D73" s="103"/>
      <c r="E73" s="103"/>
      <c r="F73" s="103"/>
      <c r="G73" s="103"/>
      <c r="H73" s="103"/>
      <c r="I73" s="103"/>
      <c r="J73" s="58">
        <f t="shared" si="4"/>
        <v>0</v>
      </c>
      <c r="K73" s="58">
        <f t="shared" si="5"/>
        <v>0</v>
      </c>
      <c r="L73" s="58">
        <f t="shared" si="6"/>
        <v>0</v>
      </c>
      <c r="M73" s="58">
        <f t="shared" si="7"/>
        <v>0</v>
      </c>
      <c r="N73" s="58"/>
    </row>
    <row r="74" spans="1:14" x14ac:dyDescent="0.25">
      <c r="A74" s="4">
        <v>73</v>
      </c>
      <c r="B74" s="133" t="s">
        <v>635</v>
      </c>
      <c r="C74" s="115">
        <v>45110</v>
      </c>
      <c r="D74" s="103"/>
      <c r="E74" s="103"/>
      <c r="F74" s="103"/>
      <c r="G74" s="103"/>
      <c r="H74" s="103"/>
      <c r="I74" s="103"/>
      <c r="J74" s="58">
        <f t="shared" si="4"/>
        <v>0</v>
      </c>
      <c r="K74" s="58">
        <f t="shared" si="5"/>
        <v>0</v>
      </c>
      <c r="L74" s="58">
        <f t="shared" si="6"/>
        <v>0</v>
      </c>
      <c r="M74" s="58">
        <f t="shared" si="7"/>
        <v>0</v>
      </c>
      <c r="N74" s="58"/>
    </row>
    <row r="75" spans="1:14" x14ac:dyDescent="0.25">
      <c r="A75" s="4">
        <v>74</v>
      </c>
      <c r="B75" s="133" t="s">
        <v>622</v>
      </c>
      <c r="C75" s="115">
        <v>45104</v>
      </c>
      <c r="D75" s="103"/>
      <c r="E75" s="103"/>
      <c r="F75" s="103"/>
      <c r="G75" s="103"/>
      <c r="H75" s="103"/>
      <c r="I75" s="103"/>
      <c r="J75" s="58">
        <f t="shared" si="4"/>
        <v>0</v>
      </c>
      <c r="K75" s="58">
        <f t="shared" si="5"/>
        <v>0</v>
      </c>
      <c r="L75" s="58">
        <f t="shared" si="6"/>
        <v>0</v>
      </c>
      <c r="M75" s="58">
        <f t="shared" si="7"/>
        <v>0</v>
      </c>
      <c r="N75" s="58"/>
    </row>
    <row r="76" spans="1:14" x14ac:dyDescent="0.25">
      <c r="A76" s="4">
        <v>75</v>
      </c>
      <c r="B76" s="133" t="s">
        <v>639</v>
      </c>
      <c r="C76" s="115">
        <v>45159</v>
      </c>
      <c r="D76" s="103">
        <v>45771</v>
      </c>
      <c r="E76" s="103">
        <v>45779</v>
      </c>
      <c r="F76" s="103">
        <v>45975</v>
      </c>
      <c r="G76" s="103">
        <v>46022</v>
      </c>
      <c r="H76" s="103"/>
      <c r="I76" s="103"/>
      <c r="J76" s="58">
        <f t="shared" si="4"/>
        <v>8</v>
      </c>
      <c r="K76" s="58">
        <f t="shared" si="5"/>
        <v>47</v>
      </c>
      <c r="L76" s="58">
        <f t="shared" si="6"/>
        <v>0</v>
      </c>
      <c r="M76" s="58">
        <f t="shared" si="7"/>
        <v>55</v>
      </c>
      <c r="N76" s="58"/>
    </row>
    <row r="77" spans="1:14" x14ac:dyDescent="0.25">
      <c r="A77" s="4">
        <v>76</v>
      </c>
      <c r="B77" s="133" t="s">
        <v>638</v>
      </c>
      <c r="C77" s="115">
        <v>45155</v>
      </c>
      <c r="D77" s="103">
        <v>45948</v>
      </c>
      <c r="E77" s="103">
        <v>46022</v>
      </c>
      <c r="F77" s="103"/>
      <c r="G77" s="103"/>
      <c r="H77" s="103"/>
      <c r="I77" s="103"/>
      <c r="J77" s="58">
        <f t="shared" si="4"/>
        <v>74</v>
      </c>
      <c r="K77" s="58">
        <f t="shared" si="5"/>
        <v>0</v>
      </c>
      <c r="L77" s="58">
        <f t="shared" si="6"/>
        <v>0</v>
      </c>
      <c r="M77" s="58">
        <f t="shared" si="7"/>
        <v>74</v>
      </c>
      <c r="N77" s="58"/>
    </row>
    <row r="78" spans="1:14" x14ac:dyDescent="0.25">
      <c r="A78" s="4">
        <v>77</v>
      </c>
      <c r="B78" s="133" t="s">
        <v>646</v>
      </c>
      <c r="C78" s="115">
        <v>45224</v>
      </c>
      <c r="D78" s="103"/>
      <c r="E78" s="103"/>
      <c r="F78" s="103"/>
      <c r="G78" s="103"/>
      <c r="H78" s="103"/>
      <c r="I78" s="103"/>
      <c r="J78" s="58">
        <f t="shared" si="4"/>
        <v>0</v>
      </c>
      <c r="K78" s="58">
        <f t="shared" si="5"/>
        <v>0</v>
      </c>
      <c r="L78" s="58">
        <f t="shared" si="6"/>
        <v>0</v>
      </c>
      <c r="M78" s="58">
        <f t="shared" si="7"/>
        <v>0</v>
      </c>
      <c r="N78" s="58"/>
    </row>
    <row r="79" spans="1:14" x14ac:dyDescent="0.25">
      <c r="A79" s="4">
        <v>78</v>
      </c>
      <c r="B79" s="6" t="s">
        <v>692</v>
      </c>
      <c r="C79" s="115">
        <v>45224</v>
      </c>
      <c r="D79" s="103"/>
      <c r="E79" s="103"/>
      <c r="F79" s="103"/>
      <c r="G79" s="103"/>
      <c r="H79" s="103"/>
      <c r="I79" s="103"/>
      <c r="J79" s="58">
        <f t="shared" si="4"/>
        <v>0</v>
      </c>
      <c r="K79" s="58">
        <f t="shared" si="5"/>
        <v>0</v>
      </c>
      <c r="L79" s="58">
        <f t="shared" si="6"/>
        <v>0</v>
      </c>
      <c r="M79" s="58">
        <f t="shared" si="7"/>
        <v>0</v>
      </c>
      <c r="N79" s="58"/>
    </row>
    <row r="80" spans="1:14" x14ac:dyDescent="0.25">
      <c r="A80" s="4">
        <v>79</v>
      </c>
      <c r="B80" s="133" t="s">
        <v>651</v>
      </c>
      <c r="C80" s="115">
        <v>45261</v>
      </c>
      <c r="D80" s="103">
        <v>45839</v>
      </c>
      <c r="E80" s="103">
        <v>45882</v>
      </c>
      <c r="F80" s="103"/>
      <c r="G80" s="103"/>
      <c r="H80" s="103"/>
      <c r="I80" s="103"/>
      <c r="J80" s="58">
        <f t="shared" si="4"/>
        <v>43</v>
      </c>
      <c r="K80" s="58">
        <f t="shared" si="5"/>
        <v>0</v>
      </c>
      <c r="L80" s="58">
        <f t="shared" si="6"/>
        <v>0</v>
      </c>
      <c r="M80" s="58">
        <f t="shared" si="7"/>
        <v>43</v>
      </c>
      <c r="N80" s="58"/>
    </row>
    <row r="81" spans="1:14" x14ac:dyDescent="0.25">
      <c r="A81" s="4">
        <v>80</v>
      </c>
      <c r="B81" s="133" t="s">
        <v>649</v>
      </c>
      <c r="C81" s="115">
        <v>45253</v>
      </c>
      <c r="D81" s="103"/>
      <c r="E81" s="103"/>
      <c r="F81" s="103"/>
      <c r="G81" s="103"/>
      <c r="H81" s="103"/>
      <c r="I81" s="103"/>
      <c r="J81" s="58">
        <f t="shared" si="4"/>
        <v>0</v>
      </c>
      <c r="K81" s="58">
        <f t="shared" si="5"/>
        <v>0</v>
      </c>
      <c r="L81" s="58">
        <f t="shared" si="6"/>
        <v>0</v>
      </c>
      <c r="M81" s="58">
        <f t="shared" si="7"/>
        <v>0</v>
      </c>
      <c r="N81" s="58"/>
    </row>
    <row r="82" spans="1:14" x14ac:dyDescent="0.25">
      <c r="A82" s="4">
        <v>81</v>
      </c>
      <c r="B82" s="133" t="s">
        <v>650</v>
      </c>
      <c r="C82" s="115">
        <v>45261</v>
      </c>
      <c r="D82" s="103"/>
      <c r="E82" s="103"/>
      <c r="F82" s="103"/>
      <c r="G82" s="103"/>
      <c r="H82" s="103"/>
      <c r="I82" s="103"/>
      <c r="J82" s="58">
        <f t="shared" si="4"/>
        <v>0</v>
      </c>
      <c r="K82" s="58">
        <f t="shared" si="5"/>
        <v>0</v>
      </c>
      <c r="L82" s="58">
        <f t="shared" si="6"/>
        <v>0</v>
      </c>
      <c r="M82" s="58">
        <f t="shared" si="7"/>
        <v>0</v>
      </c>
      <c r="N82" s="58"/>
    </row>
    <row r="83" spans="1:14" x14ac:dyDescent="0.25">
      <c r="A83" s="4">
        <v>82</v>
      </c>
      <c r="B83" s="133" t="s">
        <v>656</v>
      </c>
      <c r="C83" s="115">
        <v>45330</v>
      </c>
      <c r="D83" s="103"/>
      <c r="E83" s="103"/>
      <c r="F83" s="103"/>
      <c r="G83" s="103"/>
      <c r="H83" s="103"/>
      <c r="I83" s="103"/>
      <c r="J83" s="58">
        <f t="shared" si="4"/>
        <v>0</v>
      </c>
      <c r="K83" s="58">
        <f t="shared" si="5"/>
        <v>0</v>
      </c>
      <c r="L83" s="58">
        <f t="shared" si="6"/>
        <v>0</v>
      </c>
      <c r="M83" s="58">
        <f t="shared" si="7"/>
        <v>0</v>
      </c>
      <c r="N83" s="58"/>
    </row>
    <row r="84" spans="1:14" x14ac:dyDescent="0.25">
      <c r="A84" s="4">
        <v>83</v>
      </c>
      <c r="B84" s="133" t="s">
        <v>687</v>
      </c>
      <c r="C84" s="115">
        <v>45329</v>
      </c>
      <c r="D84" s="103"/>
      <c r="E84" s="103"/>
      <c r="F84" s="103"/>
      <c r="G84" s="103"/>
      <c r="H84" s="103"/>
      <c r="I84" s="103"/>
      <c r="J84" s="58">
        <f t="shared" si="4"/>
        <v>0</v>
      </c>
      <c r="K84" s="58">
        <f t="shared" si="5"/>
        <v>0</v>
      </c>
      <c r="L84" s="58">
        <f t="shared" si="6"/>
        <v>0</v>
      </c>
      <c r="M84" s="58">
        <f t="shared" si="7"/>
        <v>0</v>
      </c>
      <c r="N84" s="58"/>
    </row>
    <row r="85" spans="1:14" x14ac:dyDescent="0.25">
      <c r="A85" s="4">
        <v>84</v>
      </c>
      <c r="B85" s="133" t="s">
        <v>654</v>
      </c>
      <c r="C85" s="115">
        <v>45324</v>
      </c>
      <c r="D85" s="103">
        <v>45853</v>
      </c>
      <c r="E85" s="103">
        <v>45870</v>
      </c>
      <c r="F85" s="103"/>
      <c r="G85" s="103"/>
      <c r="H85" s="103"/>
      <c r="I85" s="103"/>
      <c r="J85" s="58">
        <f t="shared" si="4"/>
        <v>17</v>
      </c>
      <c r="K85" s="58">
        <f t="shared" si="5"/>
        <v>0</v>
      </c>
      <c r="L85" s="58">
        <f t="shared" si="6"/>
        <v>0</v>
      </c>
      <c r="M85" s="58">
        <f t="shared" si="7"/>
        <v>17</v>
      </c>
      <c r="N85" s="58"/>
    </row>
    <row r="86" spans="1:14" x14ac:dyDescent="0.25">
      <c r="A86" s="4">
        <v>85</v>
      </c>
      <c r="B86" s="133" t="s">
        <v>659</v>
      </c>
      <c r="C86" s="115">
        <v>45362</v>
      </c>
      <c r="D86" s="103">
        <v>45755</v>
      </c>
      <c r="E86" s="103">
        <v>45782</v>
      </c>
      <c r="F86" s="103"/>
      <c r="G86" s="103"/>
      <c r="H86" s="103"/>
      <c r="I86" s="103"/>
      <c r="J86" s="58">
        <f t="shared" si="4"/>
        <v>27</v>
      </c>
      <c r="K86" s="58">
        <f t="shared" si="5"/>
        <v>0</v>
      </c>
      <c r="L86" s="58">
        <f t="shared" si="6"/>
        <v>0</v>
      </c>
      <c r="M86" s="58">
        <f t="shared" si="7"/>
        <v>27</v>
      </c>
      <c r="N86" s="58"/>
    </row>
    <row r="87" spans="1:14" x14ac:dyDescent="0.25">
      <c r="A87" s="4">
        <v>86</v>
      </c>
      <c r="B87" s="133" t="s">
        <v>661</v>
      </c>
      <c r="C87" s="115">
        <v>45371</v>
      </c>
      <c r="D87" s="103"/>
      <c r="E87" s="103"/>
      <c r="F87" s="103"/>
      <c r="G87" s="103"/>
      <c r="H87" s="103"/>
      <c r="I87" s="103"/>
      <c r="J87" s="58">
        <f t="shared" si="4"/>
        <v>0</v>
      </c>
      <c r="K87" s="58">
        <f t="shared" si="5"/>
        <v>0</v>
      </c>
      <c r="L87" s="58">
        <f t="shared" si="6"/>
        <v>0</v>
      </c>
      <c r="M87" s="58">
        <f t="shared" si="7"/>
        <v>0</v>
      </c>
      <c r="N87" s="58"/>
    </row>
    <row r="88" spans="1:14" x14ac:dyDescent="0.25">
      <c r="A88" s="4">
        <v>87</v>
      </c>
      <c r="B88" s="133" t="s">
        <v>657</v>
      </c>
      <c r="C88" s="115">
        <v>45357</v>
      </c>
      <c r="D88" s="103"/>
      <c r="E88" s="103"/>
      <c r="F88" s="103"/>
      <c r="G88" s="103"/>
      <c r="H88" s="103"/>
      <c r="I88" s="103"/>
      <c r="J88" s="58">
        <f t="shared" si="4"/>
        <v>0</v>
      </c>
      <c r="K88" s="58">
        <f t="shared" si="5"/>
        <v>0</v>
      </c>
      <c r="L88" s="58">
        <f t="shared" si="6"/>
        <v>0</v>
      </c>
      <c r="M88" s="58">
        <f t="shared" si="7"/>
        <v>0</v>
      </c>
      <c r="N88" s="58"/>
    </row>
    <row r="89" spans="1:14" x14ac:dyDescent="0.25">
      <c r="A89" s="4">
        <v>88</v>
      </c>
      <c r="B89" s="133" t="s">
        <v>678</v>
      </c>
      <c r="C89" s="115">
        <v>45434</v>
      </c>
      <c r="D89" s="103"/>
      <c r="E89" s="103"/>
      <c r="F89" s="103"/>
      <c r="G89" s="103"/>
      <c r="H89" s="103"/>
      <c r="I89" s="103"/>
      <c r="J89" s="58">
        <f t="shared" si="4"/>
        <v>0</v>
      </c>
      <c r="K89" s="58">
        <f t="shared" si="5"/>
        <v>0</v>
      </c>
      <c r="L89" s="58">
        <f t="shared" si="6"/>
        <v>0</v>
      </c>
      <c r="M89" s="58">
        <f t="shared" si="7"/>
        <v>0</v>
      </c>
      <c r="N89" s="58"/>
    </row>
    <row r="90" spans="1:14" x14ac:dyDescent="0.25">
      <c r="A90" s="4">
        <v>89</v>
      </c>
      <c r="B90" s="133" t="s">
        <v>658</v>
      </c>
      <c r="C90" s="115">
        <v>45360</v>
      </c>
      <c r="D90" s="103"/>
      <c r="E90" s="103"/>
      <c r="F90" s="103"/>
      <c r="G90" s="103"/>
      <c r="H90" s="103"/>
      <c r="I90" s="103"/>
      <c r="J90" s="58">
        <f t="shared" si="4"/>
        <v>0</v>
      </c>
      <c r="K90" s="58">
        <f t="shared" si="5"/>
        <v>0</v>
      </c>
      <c r="L90" s="58">
        <f t="shared" si="6"/>
        <v>0</v>
      </c>
      <c r="M90" s="58">
        <f t="shared" si="7"/>
        <v>0</v>
      </c>
      <c r="N90" s="58"/>
    </row>
    <row r="91" spans="1:14" x14ac:dyDescent="0.25">
      <c r="A91" s="4">
        <v>90</v>
      </c>
      <c r="B91" s="133" t="s">
        <v>677</v>
      </c>
      <c r="C91" s="115">
        <v>45432</v>
      </c>
      <c r="D91" s="103"/>
      <c r="E91" s="103"/>
      <c r="F91" s="103"/>
      <c r="G91" s="103"/>
      <c r="H91" s="103"/>
      <c r="I91" s="103"/>
      <c r="J91" s="58">
        <f t="shared" si="4"/>
        <v>0</v>
      </c>
      <c r="K91" s="58">
        <f t="shared" si="5"/>
        <v>0</v>
      </c>
      <c r="L91" s="58">
        <f t="shared" si="6"/>
        <v>0</v>
      </c>
      <c r="M91" s="58">
        <f t="shared" si="7"/>
        <v>0</v>
      </c>
      <c r="N91" s="58"/>
    </row>
    <row r="92" spans="1:14" x14ac:dyDescent="0.25">
      <c r="A92" s="4">
        <v>91</v>
      </c>
      <c r="B92" s="6" t="s">
        <v>693</v>
      </c>
      <c r="C92" s="115">
        <v>45448</v>
      </c>
      <c r="D92" s="134"/>
      <c r="E92" s="103"/>
      <c r="F92" s="103"/>
      <c r="G92" s="103"/>
      <c r="H92" s="103"/>
      <c r="I92" s="103"/>
      <c r="J92" s="58">
        <v>0</v>
      </c>
      <c r="K92" s="58">
        <f t="shared" si="5"/>
        <v>0</v>
      </c>
      <c r="L92" s="58">
        <f t="shared" si="6"/>
        <v>0</v>
      </c>
      <c r="M92" s="58">
        <v>0</v>
      </c>
      <c r="N92" s="58"/>
    </row>
    <row r="93" spans="1:14" x14ac:dyDescent="0.25">
      <c r="A93" s="4">
        <v>92</v>
      </c>
      <c r="B93" s="133" t="s">
        <v>679</v>
      </c>
      <c r="C93" s="115">
        <v>45421</v>
      </c>
      <c r="D93" s="103"/>
      <c r="E93" s="103"/>
      <c r="F93" s="103"/>
      <c r="G93" s="103"/>
      <c r="H93" s="103"/>
      <c r="I93" s="103"/>
      <c r="J93" s="58">
        <f t="shared" si="4"/>
        <v>0</v>
      </c>
      <c r="K93" s="58">
        <f t="shared" si="5"/>
        <v>0</v>
      </c>
      <c r="L93" s="58">
        <f t="shared" si="6"/>
        <v>0</v>
      </c>
      <c r="M93" s="58">
        <f t="shared" si="7"/>
        <v>0</v>
      </c>
      <c r="N93" s="58"/>
    </row>
    <row r="94" spans="1:14" x14ac:dyDescent="0.25">
      <c r="A94" s="4">
        <v>93</v>
      </c>
      <c r="B94" s="6" t="s">
        <v>694</v>
      </c>
      <c r="C94" s="134">
        <v>45560</v>
      </c>
      <c r="D94" s="103"/>
      <c r="E94" s="103"/>
      <c r="F94" s="103"/>
      <c r="G94" s="103"/>
      <c r="H94" s="103"/>
      <c r="I94" s="103"/>
      <c r="J94" s="58">
        <f t="shared" si="4"/>
        <v>0</v>
      </c>
      <c r="K94" s="58">
        <f t="shared" si="5"/>
        <v>0</v>
      </c>
      <c r="L94" s="58">
        <f t="shared" si="6"/>
        <v>0</v>
      </c>
      <c r="M94" s="58">
        <f t="shared" si="7"/>
        <v>0</v>
      </c>
      <c r="N94" s="58"/>
    </row>
    <row r="95" spans="1:14" x14ac:dyDescent="0.25">
      <c r="A95" s="4">
        <v>94</v>
      </c>
      <c r="B95" s="6" t="s">
        <v>695</v>
      </c>
      <c r="C95" s="134">
        <v>45570</v>
      </c>
      <c r="D95" s="103"/>
      <c r="E95" s="103"/>
      <c r="F95" s="103"/>
      <c r="G95" s="103"/>
      <c r="H95" s="103"/>
      <c r="I95" s="103"/>
      <c r="J95" s="58">
        <f t="shared" si="4"/>
        <v>0</v>
      </c>
      <c r="K95" s="58">
        <f t="shared" si="5"/>
        <v>0</v>
      </c>
      <c r="L95" s="58">
        <f t="shared" si="6"/>
        <v>0</v>
      </c>
      <c r="M95" s="58">
        <f t="shared" si="7"/>
        <v>0</v>
      </c>
      <c r="N95" s="58"/>
    </row>
    <row r="96" spans="1:14" x14ac:dyDescent="0.25">
      <c r="A96" s="4">
        <v>95</v>
      </c>
      <c r="B96" s="91" t="s">
        <v>566</v>
      </c>
      <c r="C96" s="115">
        <v>39083</v>
      </c>
      <c r="D96" s="103"/>
      <c r="E96" s="103"/>
      <c r="F96" s="103"/>
      <c r="G96" s="103"/>
      <c r="H96" s="103"/>
      <c r="I96" s="103"/>
      <c r="J96" s="58">
        <f t="shared" si="4"/>
        <v>0</v>
      </c>
      <c r="K96" s="58">
        <f t="shared" si="5"/>
        <v>0</v>
      </c>
      <c r="L96" s="58">
        <f t="shared" si="6"/>
        <v>0</v>
      </c>
      <c r="M96" s="58">
        <f t="shared" si="7"/>
        <v>0</v>
      </c>
      <c r="N96" s="58"/>
    </row>
    <row r="97" spans="1:14" x14ac:dyDescent="0.25">
      <c r="A97" s="4">
        <v>96</v>
      </c>
      <c r="B97" s="133" t="s">
        <v>567</v>
      </c>
      <c r="C97" s="134">
        <v>39083</v>
      </c>
      <c r="D97" s="103">
        <v>45699</v>
      </c>
      <c r="E97" s="103">
        <v>45711</v>
      </c>
      <c r="F97" s="103"/>
      <c r="G97" s="103"/>
      <c r="H97" s="103"/>
      <c r="I97" s="103"/>
      <c r="J97" s="58">
        <f t="shared" si="4"/>
        <v>12</v>
      </c>
      <c r="K97" s="58">
        <f t="shared" si="5"/>
        <v>0</v>
      </c>
      <c r="L97" s="58">
        <f t="shared" si="6"/>
        <v>0</v>
      </c>
      <c r="M97" s="58">
        <f t="shared" si="7"/>
        <v>12</v>
      </c>
      <c r="N97" s="58"/>
    </row>
    <row r="98" spans="1:14" x14ac:dyDescent="0.25">
      <c r="A98" s="4">
        <v>97</v>
      </c>
      <c r="B98" s="133" t="s">
        <v>568</v>
      </c>
      <c r="C98" s="134">
        <v>39083</v>
      </c>
      <c r="D98" s="103">
        <v>45696</v>
      </c>
      <c r="E98" s="103">
        <v>45755</v>
      </c>
      <c r="F98" s="103"/>
      <c r="G98" s="103"/>
      <c r="H98" s="103"/>
      <c r="I98" s="103"/>
      <c r="J98" s="58">
        <f t="shared" si="4"/>
        <v>59</v>
      </c>
      <c r="K98" s="58">
        <f t="shared" si="5"/>
        <v>0</v>
      </c>
      <c r="L98" s="58">
        <f t="shared" si="6"/>
        <v>0</v>
      </c>
      <c r="M98" s="58">
        <f t="shared" si="7"/>
        <v>59</v>
      </c>
      <c r="N98" s="58"/>
    </row>
    <row r="99" spans="1:14" x14ac:dyDescent="0.25">
      <c r="A99" s="4">
        <v>98</v>
      </c>
      <c r="B99" s="133" t="s">
        <v>569</v>
      </c>
      <c r="C99" s="134">
        <v>40940</v>
      </c>
      <c r="D99" s="103">
        <v>45792</v>
      </c>
      <c r="E99" s="103">
        <v>45868</v>
      </c>
      <c r="F99" s="103"/>
      <c r="G99" s="103"/>
      <c r="H99" s="103"/>
      <c r="I99" s="103"/>
      <c r="J99" s="58">
        <f t="shared" si="4"/>
        <v>76</v>
      </c>
      <c r="K99" s="58">
        <f t="shared" si="5"/>
        <v>0</v>
      </c>
      <c r="L99" s="58">
        <f t="shared" si="6"/>
        <v>0</v>
      </c>
      <c r="M99" s="58">
        <f t="shared" si="7"/>
        <v>76</v>
      </c>
      <c r="N99" s="58"/>
    </row>
    <row r="100" spans="1:14" x14ac:dyDescent="0.25">
      <c r="A100" s="4">
        <v>99</v>
      </c>
      <c r="B100" s="133" t="s">
        <v>570</v>
      </c>
      <c r="C100" s="134">
        <v>40848</v>
      </c>
      <c r="D100" s="103">
        <v>45658</v>
      </c>
      <c r="E100" s="103">
        <v>45670</v>
      </c>
      <c r="F100" s="103"/>
      <c r="G100" s="103"/>
      <c r="H100" s="103"/>
      <c r="I100" s="103"/>
      <c r="J100" s="58">
        <f t="shared" si="4"/>
        <v>12</v>
      </c>
      <c r="K100" s="58">
        <f t="shared" si="5"/>
        <v>0</v>
      </c>
      <c r="L100" s="58">
        <f t="shared" si="6"/>
        <v>0</v>
      </c>
      <c r="M100" s="58">
        <f t="shared" si="7"/>
        <v>12</v>
      </c>
      <c r="N100" s="58"/>
    </row>
    <row r="101" spans="1:14" x14ac:dyDescent="0.25">
      <c r="A101" s="4">
        <v>100</v>
      </c>
      <c r="B101" s="133" t="s">
        <v>571</v>
      </c>
      <c r="C101" s="134">
        <v>39173</v>
      </c>
      <c r="D101" s="103"/>
      <c r="E101" s="103"/>
      <c r="F101" s="103"/>
      <c r="G101" s="103"/>
      <c r="H101" s="103"/>
      <c r="I101" s="103"/>
      <c r="J101" s="58">
        <f t="shared" si="4"/>
        <v>0</v>
      </c>
      <c r="K101" s="58">
        <f t="shared" si="5"/>
        <v>0</v>
      </c>
      <c r="L101" s="58">
        <f t="shared" si="6"/>
        <v>0</v>
      </c>
      <c r="M101" s="58">
        <f t="shared" si="7"/>
        <v>0</v>
      </c>
      <c r="N101" s="58"/>
    </row>
    <row r="102" spans="1:14" x14ac:dyDescent="0.25">
      <c r="A102" s="4">
        <v>101</v>
      </c>
      <c r="B102" s="133" t="s">
        <v>572</v>
      </c>
      <c r="C102" s="134">
        <v>44105</v>
      </c>
      <c r="D102" s="103"/>
      <c r="E102" s="103"/>
      <c r="F102" s="103"/>
      <c r="G102" s="103"/>
      <c r="H102" s="103"/>
      <c r="I102" s="103"/>
      <c r="J102" s="58">
        <f t="shared" si="4"/>
        <v>0</v>
      </c>
      <c r="K102" s="58">
        <f t="shared" si="5"/>
        <v>0</v>
      </c>
      <c r="L102" s="58">
        <f t="shared" si="6"/>
        <v>0</v>
      </c>
      <c r="M102" s="58">
        <f t="shared" si="7"/>
        <v>0</v>
      </c>
      <c r="N102" s="58"/>
    </row>
    <row r="103" spans="1:14" x14ac:dyDescent="0.25">
      <c r="A103" s="4">
        <v>102</v>
      </c>
      <c r="B103" s="133" t="s">
        <v>620</v>
      </c>
      <c r="C103" s="134">
        <v>44378</v>
      </c>
      <c r="D103" s="103"/>
      <c r="E103" s="103"/>
      <c r="F103" s="103"/>
      <c r="G103" s="103"/>
      <c r="H103" s="103"/>
      <c r="I103" s="103"/>
      <c r="J103" s="58">
        <f t="shared" si="4"/>
        <v>0</v>
      </c>
      <c r="K103" s="58">
        <f t="shared" si="5"/>
        <v>0</v>
      </c>
      <c r="L103" s="58">
        <f t="shared" si="6"/>
        <v>0</v>
      </c>
      <c r="M103" s="58">
        <f t="shared" si="7"/>
        <v>0</v>
      </c>
      <c r="N103" s="58"/>
    </row>
    <row r="104" spans="1:14" x14ac:dyDescent="0.25">
      <c r="A104" s="4">
        <v>103</v>
      </c>
      <c r="B104" s="6" t="s">
        <v>696</v>
      </c>
      <c r="C104" s="115">
        <v>45068</v>
      </c>
      <c r="D104" s="103">
        <v>45753</v>
      </c>
      <c r="E104" s="103">
        <v>45806</v>
      </c>
      <c r="F104" s="103"/>
      <c r="G104" s="103"/>
      <c r="H104" s="103"/>
      <c r="I104" s="103"/>
      <c r="J104" s="58">
        <f t="shared" si="4"/>
        <v>53</v>
      </c>
      <c r="K104" s="58">
        <f t="shared" si="5"/>
        <v>0</v>
      </c>
      <c r="L104" s="58">
        <f t="shared" si="6"/>
        <v>0</v>
      </c>
      <c r="M104" s="58">
        <f t="shared" si="7"/>
        <v>53</v>
      </c>
      <c r="N104" s="58"/>
    </row>
    <row r="105" spans="1:14" x14ac:dyDescent="0.25">
      <c r="A105" s="4">
        <v>104</v>
      </c>
      <c r="B105" s="91" t="s">
        <v>574</v>
      </c>
      <c r="C105" s="115">
        <v>39083</v>
      </c>
      <c r="D105" s="103"/>
      <c r="E105" s="103"/>
      <c r="F105" s="103"/>
      <c r="G105" s="103"/>
      <c r="H105" s="103"/>
      <c r="I105" s="103"/>
      <c r="J105" s="58">
        <f t="shared" si="4"/>
        <v>0</v>
      </c>
      <c r="K105" s="58">
        <f t="shared" si="5"/>
        <v>0</v>
      </c>
      <c r="L105" s="58">
        <f t="shared" si="6"/>
        <v>0</v>
      </c>
      <c r="M105" s="58">
        <f t="shared" si="7"/>
        <v>0</v>
      </c>
      <c r="N105" s="58"/>
    </row>
    <row r="106" spans="1:14" x14ac:dyDescent="0.25">
      <c r="A106" s="4">
        <v>105</v>
      </c>
      <c r="B106" s="133" t="s">
        <v>575</v>
      </c>
      <c r="C106" s="115">
        <v>40544</v>
      </c>
      <c r="D106" s="103">
        <v>45756</v>
      </c>
      <c r="E106" s="103">
        <v>45818</v>
      </c>
      <c r="F106" s="103"/>
      <c r="G106" s="103"/>
      <c r="H106" s="103"/>
      <c r="I106" s="103"/>
      <c r="J106" s="58">
        <f t="shared" si="4"/>
        <v>62</v>
      </c>
      <c r="K106" s="58">
        <f t="shared" si="5"/>
        <v>0</v>
      </c>
      <c r="L106" s="58">
        <f t="shared" si="6"/>
        <v>0</v>
      </c>
      <c r="M106" s="58">
        <f t="shared" si="7"/>
        <v>62</v>
      </c>
      <c r="N106" s="58"/>
    </row>
    <row r="107" spans="1:14" x14ac:dyDescent="0.25">
      <c r="A107" s="4">
        <v>106</v>
      </c>
      <c r="B107" s="133" t="s">
        <v>576</v>
      </c>
      <c r="C107" s="134">
        <v>39083</v>
      </c>
      <c r="D107" s="103">
        <v>45704</v>
      </c>
      <c r="E107" s="103">
        <v>45764</v>
      </c>
      <c r="F107" s="103"/>
      <c r="G107" s="103"/>
      <c r="H107" s="103"/>
      <c r="I107" s="103"/>
      <c r="J107" s="58">
        <f t="shared" si="4"/>
        <v>60</v>
      </c>
      <c r="K107" s="58">
        <f t="shared" si="5"/>
        <v>0</v>
      </c>
      <c r="L107" s="58">
        <f t="shared" si="6"/>
        <v>0</v>
      </c>
      <c r="M107" s="58">
        <f t="shared" si="7"/>
        <v>60</v>
      </c>
      <c r="N107" s="58"/>
    </row>
    <row r="108" spans="1:14" x14ac:dyDescent="0.25">
      <c r="A108" s="4">
        <v>107</v>
      </c>
      <c r="B108" s="133" t="s">
        <v>577</v>
      </c>
      <c r="C108" s="134">
        <v>40544</v>
      </c>
      <c r="D108" s="103"/>
      <c r="E108" s="103"/>
      <c r="F108" s="103"/>
      <c r="G108" s="103"/>
      <c r="H108" s="103"/>
      <c r="I108" s="103"/>
      <c r="J108" s="58">
        <f t="shared" si="4"/>
        <v>0</v>
      </c>
      <c r="K108" s="58">
        <f t="shared" si="5"/>
        <v>0</v>
      </c>
      <c r="L108" s="58">
        <f t="shared" si="6"/>
        <v>0</v>
      </c>
      <c r="M108" s="58">
        <f t="shared" si="7"/>
        <v>0</v>
      </c>
      <c r="N108" s="58"/>
    </row>
    <row r="109" spans="1:14" x14ac:dyDescent="0.25">
      <c r="A109" s="4">
        <v>108</v>
      </c>
      <c r="B109" s="133" t="s">
        <v>578</v>
      </c>
      <c r="C109" s="134">
        <v>41456</v>
      </c>
      <c r="D109" s="103"/>
      <c r="E109" s="103"/>
      <c r="F109" s="103"/>
      <c r="G109" s="103"/>
      <c r="H109" s="103"/>
      <c r="I109" s="103"/>
      <c r="J109" s="58">
        <f t="shared" si="4"/>
        <v>0</v>
      </c>
      <c r="K109" s="58">
        <f t="shared" si="5"/>
        <v>0</v>
      </c>
      <c r="L109" s="58">
        <f t="shared" si="6"/>
        <v>0</v>
      </c>
      <c r="M109" s="58">
        <f t="shared" si="7"/>
        <v>0</v>
      </c>
      <c r="N109" s="58"/>
    </row>
    <row r="110" spans="1:14" x14ac:dyDescent="0.25">
      <c r="A110" s="4">
        <v>109</v>
      </c>
      <c r="B110" s="133" t="s">
        <v>581</v>
      </c>
      <c r="C110" s="134">
        <v>44172</v>
      </c>
      <c r="D110" s="103">
        <v>45658</v>
      </c>
      <c r="E110" s="103">
        <v>45706</v>
      </c>
      <c r="F110" s="103">
        <v>45942</v>
      </c>
      <c r="G110" s="103">
        <v>45949</v>
      </c>
      <c r="H110" s="103"/>
      <c r="I110" s="103"/>
      <c r="J110" s="58">
        <f t="shared" si="4"/>
        <v>48</v>
      </c>
      <c r="K110" s="58">
        <f t="shared" si="5"/>
        <v>7</v>
      </c>
      <c r="L110" s="58">
        <f t="shared" si="6"/>
        <v>0</v>
      </c>
      <c r="M110" s="58">
        <f t="shared" si="7"/>
        <v>55</v>
      </c>
      <c r="N110" s="58"/>
    </row>
    <row r="111" spans="1:14" x14ac:dyDescent="0.25">
      <c r="A111" s="4">
        <v>110</v>
      </c>
      <c r="B111" s="133" t="s">
        <v>184</v>
      </c>
      <c r="C111" s="134">
        <v>40210</v>
      </c>
      <c r="D111" s="103">
        <v>45711</v>
      </c>
      <c r="E111" s="103">
        <v>45771</v>
      </c>
      <c r="F111" s="103"/>
      <c r="G111" s="103"/>
      <c r="H111" s="103"/>
      <c r="I111" s="103"/>
      <c r="J111" s="58">
        <f t="shared" si="4"/>
        <v>60</v>
      </c>
      <c r="K111" s="58">
        <f t="shared" si="5"/>
        <v>0</v>
      </c>
      <c r="L111" s="58">
        <f t="shared" si="6"/>
        <v>0</v>
      </c>
      <c r="M111" s="58">
        <f t="shared" si="7"/>
        <v>60</v>
      </c>
      <c r="N111" s="58"/>
    </row>
    <row r="112" spans="1:14" x14ac:dyDescent="0.25">
      <c r="A112" s="4">
        <v>111</v>
      </c>
      <c r="B112" s="133" t="s">
        <v>604</v>
      </c>
      <c r="C112" s="134">
        <v>44713</v>
      </c>
      <c r="D112" s="103">
        <v>45809</v>
      </c>
      <c r="E112" s="103">
        <v>45869</v>
      </c>
      <c r="F112" s="103"/>
      <c r="G112" s="103"/>
      <c r="H112" s="103"/>
      <c r="I112" s="103"/>
      <c r="J112" s="58">
        <f t="shared" si="4"/>
        <v>60</v>
      </c>
      <c r="K112" s="58">
        <f t="shared" si="5"/>
        <v>0</v>
      </c>
      <c r="L112" s="58">
        <f t="shared" si="6"/>
        <v>0</v>
      </c>
      <c r="M112" s="58">
        <f t="shared" si="7"/>
        <v>60</v>
      </c>
      <c r="N112" s="58"/>
    </row>
    <row r="113" spans="1:14" x14ac:dyDescent="0.25">
      <c r="A113" s="4">
        <v>112</v>
      </c>
      <c r="B113" s="133" t="s">
        <v>621</v>
      </c>
      <c r="C113" s="134">
        <v>44817</v>
      </c>
      <c r="D113" s="103">
        <v>45867</v>
      </c>
      <c r="E113" s="103">
        <v>45949</v>
      </c>
      <c r="F113" s="103"/>
      <c r="G113" s="103"/>
      <c r="H113" s="103"/>
      <c r="I113" s="103"/>
      <c r="J113" s="58">
        <f t="shared" si="4"/>
        <v>82</v>
      </c>
      <c r="K113" s="58">
        <f t="shared" si="5"/>
        <v>0</v>
      </c>
      <c r="L113" s="58">
        <f t="shared" si="6"/>
        <v>0</v>
      </c>
      <c r="M113" s="58">
        <f t="shared" si="7"/>
        <v>82</v>
      </c>
      <c r="N113" s="58"/>
    </row>
    <row r="114" spans="1:14" x14ac:dyDescent="0.25">
      <c r="A114" s="4">
        <v>113</v>
      </c>
      <c r="B114" s="133" t="s">
        <v>645</v>
      </c>
      <c r="C114" s="134">
        <v>44900</v>
      </c>
      <c r="D114" s="103"/>
      <c r="E114" s="103"/>
      <c r="F114" s="103"/>
      <c r="G114" s="103"/>
      <c r="H114" s="103"/>
      <c r="I114" s="103"/>
      <c r="J114" s="58">
        <f t="shared" si="4"/>
        <v>0</v>
      </c>
      <c r="K114" s="58">
        <f t="shared" si="5"/>
        <v>0</v>
      </c>
      <c r="L114" s="58">
        <f t="shared" si="6"/>
        <v>0</v>
      </c>
      <c r="M114" s="58">
        <f t="shared" si="7"/>
        <v>0</v>
      </c>
      <c r="N114" s="58"/>
    </row>
    <row r="115" spans="1:14" x14ac:dyDescent="0.25">
      <c r="A115" s="4">
        <v>114</v>
      </c>
      <c r="B115" s="133" t="s">
        <v>652</v>
      </c>
      <c r="C115" s="115">
        <v>45054</v>
      </c>
      <c r="D115" s="103">
        <v>45665</v>
      </c>
      <c r="E115" s="103">
        <v>45672</v>
      </c>
      <c r="F115" s="103"/>
      <c r="G115" s="103"/>
      <c r="H115" s="103"/>
      <c r="I115" s="103"/>
      <c r="J115" s="58">
        <f t="shared" si="4"/>
        <v>7</v>
      </c>
      <c r="K115" s="58">
        <f t="shared" si="5"/>
        <v>0</v>
      </c>
      <c r="L115" s="58">
        <f t="shared" si="6"/>
        <v>0</v>
      </c>
      <c r="M115" s="58">
        <f t="shared" si="7"/>
        <v>7</v>
      </c>
      <c r="N115" s="58"/>
    </row>
    <row r="116" spans="1:14" x14ac:dyDescent="0.25">
      <c r="A116" s="4">
        <v>115</v>
      </c>
      <c r="B116" s="91" t="s">
        <v>582</v>
      </c>
      <c r="C116" s="115">
        <v>45201</v>
      </c>
      <c r="D116" s="103">
        <v>45830</v>
      </c>
      <c r="E116" s="103">
        <v>45844</v>
      </c>
      <c r="F116" s="103"/>
      <c r="G116" s="103"/>
      <c r="H116" s="103"/>
      <c r="I116" s="103"/>
      <c r="J116" s="58">
        <f t="shared" si="4"/>
        <v>14</v>
      </c>
      <c r="K116" s="58">
        <f t="shared" si="5"/>
        <v>0</v>
      </c>
      <c r="L116" s="58">
        <f t="shared" si="6"/>
        <v>0</v>
      </c>
      <c r="M116" s="58">
        <f>J116+K116+L116</f>
        <v>14</v>
      </c>
      <c r="N116" s="58"/>
    </row>
    <row r="117" spans="1:14" x14ac:dyDescent="0.25">
      <c r="A117" s="4">
        <v>116</v>
      </c>
      <c r="B117" s="133" t="s">
        <v>349</v>
      </c>
      <c r="C117" s="115">
        <v>45280</v>
      </c>
      <c r="D117" s="103"/>
      <c r="E117" s="103"/>
      <c r="F117" s="103"/>
      <c r="G117" s="103"/>
      <c r="H117" s="103"/>
      <c r="I117" s="103"/>
      <c r="J117" s="58">
        <f t="shared" si="4"/>
        <v>0</v>
      </c>
      <c r="K117" s="58">
        <f t="shared" si="5"/>
        <v>0</v>
      </c>
      <c r="L117" s="58">
        <f t="shared" si="6"/>
        <v>0</v>
      </c>
      <c r="M117" s="58">
        <f t="shared" si="7"/>
        <v>0</v>
      </c>
      <c r="N117" s="58"/>
    </row>
    <row r="118" spans="1:14" x14ac:dyDescent="0.25">
      <c r="A118" s="4">
        <v>117</v>
      </c>
      <c r="B118" s="133" t="s">
        <v>584</v>
      </c>
      <c r="C118" s="115">
        <v>42856</v>
      </c>
      <c r="D118" s="103">
        <v>45900</v>
      </c>
      <c r="E118" s="103">
        <v>45965</v>
      </c>
      <c r="F118" s="103"/>
      <c r="G118" s="103"/>
      <c r="H118" s="103"/>
      <c r="I118" s="103"/>
      <c r="J118" s="58">
        <f t="shared" si="4"/>
        <v>65</v>
      </c>
      <c r="K118" s="58">
        <f t="shared" si="5"/>
        <v>0</v>
      </c>
      <c r="L118" s="58">
        <f t="shared" si="6"/>
        <v>0</v>
      </c>
      <c r="M118" s="58">
        <f t="shared" si="7"/>
        <v>65</v>
      </c>
      <c r="N118" s="58"/>
    </row>
    <row r="119" spans="1:14" x14ac:dyDescent="0.25">
      <c r="A119" s="4">
        <v>118</v>
      </c>
      <c r="B119" s="133" t="s">
        <v>585</v>
      </c>
      <c r="C119" s="134">
        <v>39083</v>
      </c>
      <c r="D119" s="103"/>
      <c r="E119" s="103"/>
      <c r="F119" s="103"/>
      <c r="G119" s="103"/>
      <c r="H119" s="103"/>
      <c r="I119" s="103"/>
      <c r="J119" s="58">
        <f t="shared" si="4"/>
        <v>0</v>
      </c>
      <c r="K119" s="58">
        <f t="shared" si="5"/>
        <v>0</v>
      </c>
      <c r="L119" s="58">
        <f t="shared" si="6"/>
        <v>0</v>
      </c>
      <c r="M119" s="58">
        <f t="shared" si="7"/>
        <v>0</v>
      </c>
      <c r="N119" s="58"/>
    </row>
    <row r="120" spans="1:14" x14ac:dyDescent="0.25">
      <c r="A120" s="4">
        <v>119</v>
      </c>
      <c r="B120" s="133" t="s">
        <v>586</v>
      </c>
      <c r="C120" s="134">
        <v>44734</v>
      </c>
      <c r="D120" s="103"/>
      <c r="E120" s="103"/>
      <c r="F120" s="103"/>
      <c r="G120" s="103"/>
      <c r="H120" s="103"/>
      <c r="I120" s="103"/>
      <c r="J120" s="58">
        <f t="shared" si="4"/>
        <v>0</v>
      </c>
      <c r="K120" s="58">
        <f t="shared" si="5"/>
        <v>0</v>
      </c>
      <c r="L120" s="58">
        <f t="shared" si="6"/>
        <v>0</v>
      </c>
      <c r="M120" s="58">
        <f t="shared" si="7"/>
        <v>0</v>
      </c>
      <c r="N120" s="58"/>
    </row>
    <row r="121" spans="1:14" x14ac:dyDescent="0.25">
      <c r="A121" s="4">
        <v>120</v>
      </c>
      <c r="B121" s="133" t="s">
        <v>587</v>
      </c>
      <c r="C121" s="134">
        <v>42856</v>
      </c>
      <c r="D121" s="103">
        <v>45674</v>
      </c>
      <c r="E121" s="103">
        <v>45692</v>
      </c>
      <c r="F121" s="103"/>
      <c r="G121" s="103"/>
      <c r="H121" s="103"/>
      <c r="I121" s="103"/>
      <c r="J121" s="58">
        <f t="shared" si="4"/>
        <v>18</v>
      </c>
      <c r="K121" s="58">
        <f t="shared" si="5"/>
        <v>0</v>
      </c>
      <c r="L121" s="58">
        <f t="shared" si="6"/>
        <v>0</v>
      </c>
      <c r="M121" s="58">
        <f t="shared" si="7"/>
        <v>18</v>
      </c>
      <c r="N121" s="58"/>
    </row>
    <row r="122" spans="1:14" x14ac:dyDescent="0.25">
      <c r="A122" s="4">
        <v>121</v>
      </c>
      <c r="B122" s="133" t="s">
        <v>588</v>
      </c>
      <c r="C122" s="134">
        <v>41609</v>
      </c>
      <c r="D122" s="103">
        <v>45939</v>
      </c>
      <c r="E122" s="103">
        <v>46014</v>
      </c>
      <c r="F122" s="103"/>
      <c r="G122" s="103"/>
      <c r="H122" s="103"/>
      <c r="I122" s="103"/>
      <c r="J122" s="58">
        <f t="shared" ref="J122:J133" si="8">E122-D122</f>
        <v>75</v>
      </c>
      <c r="K122" s="58">
        <f t="shared" si="5"/>
        <v>0</v>
      </c>
      <c r="L122" s="58">
        <f t="shared" si="6"/>
        <v>0</v>
      </c>
      <c r="M122" s="58">
        <f t="shared" si="7"/>
        <v>75</v>
      </c>
      <c r="N122" s="58"/>
    </row>
    <row r="123" spans="1:14" x14ac:dyDescent="0.25">
      <c r="A123" s="4">
        <v>122</v>
      </c>
      <c r="B123" s="133" t="s">
        <v>589</v>
      </c>
      <c r="C123" s="134">
        <v>39083</v>
      </c>
      <c r="D123" s="103">
        <v>45946</v>
      </c>
      <c r="E123" s="103">
        <v>45980</v>
      </c>
      <c r="F123" s="103">
        <v>46022</v>
      </c>
      <c r="G123" s="103">
        <v>46023</v>
      </c>
      <c r="H123" s="103"/>
      <c r="I123" s="103"/>
      <c r="J123" s="58">
        <f t="shared" si="8"/>
        <v>34</v>
      </c>
      <c r="K123" s="58">
        <f t="shared" ref="K123:K133" si="9">G123-F123</f>
        <v>1</v>
      </c>
      <c r="L123" s="58">
        <f t="shared" ref="L123:L133" si="10">I123-H123</f>
        <v>0</v>
      </c>
      <c r="M123" s="58">
        <f t="shared" ref="M123:M133" si="11">J123+K123+L123</f>
        <v>35</v>
      </c>
      <c r="N123" s="58"/>
    </row>
    <row r="124" spans="1:14" x14ac:dyDescent="0.25">
      <c r="A124" s="4">
        <v>123</v>
      </c>
      <c r="B124" s="133" t="s">
        <v>590</v>
      </c>
      <c r="C124" s="134">
        <v>39083</v>
      </c>
      <c r="D124" s="103">
        <v>45672</v>
      </c>
      <c r="E124" s="103">
        <v>45750</v>
      </c>
      <c r="F124" s="103"/>
      <c r="G124" s="103"/>
      <c r="H124" s="103"/>
      <c r="I124" s="103"/>
      <c r="J124" s="58">
        <f t="shared" si="8"/>
        <v>78</v>
      </c>
      <c r="K124" s="58">
        <f t="shared" si="9"/>
        <v>0</v>
      </c>
      <c r="L124" s="58">
        <f t="shared" si="10"/>
        <v>0</v>
      </c>
      <c r="M124" s="58">
        <f t="shared" si="11"/>
        <v>78</v>
      </c>
      <c r="N124" s="58"/>
    </row>
    <row r="125" spans="1:14" x14ac:dyDescent="0.25">
      <c r="A125" s="4">
        <v>124</v>
      </c>
      <c r="B125" s="133" t="s">
        <v>593</v>
      </c>
      <c r="C125" s="134">
        <v>39326</v>
      </c>
      <c r="D125" s="103"/>
      <c r="E125" s="103"/>
      <c r="F125" s="103"/>
      <c r="G125" s="103"/>
      <c r="H125" s="103"/>
      <c r="I125" s="103"/>
      <c r="J125" s="58">
        <f t="shared" si="8"/>
        <v>0</v>
      </c>
      <c r="K125" s="58">
        <f t="shared" si="9"/>
        <v>0</v>
      </c>
      <c r="L125" s="58">
        <f t="shared" si="10"/>
        <v>0</v>
      </c>
      <c r="M125" s="58">
        <f t="shared" si="11"/>
        <v>0</v>
      </c>
      <c r="N125" s="58"/>
    </row>
    <row r="126" spans="1:14" x14ac:dyDescent="0.25">
      <c r="A126" s="4">
        <v>125</v>
      </c>
      <c r="B126" s="133" t="s">
        <v>467</v>
      </c>
      <c r="C126" s="134">
        <v>39783</v>
      </c>
      <c r="D126" s="103"/>
      <c r="E126" s="103"/>
      <c r="F126" s="103"/>
      <c r="G126" s="103"/>
      <c r="H126" s="103"/>
      <c r="I126" s="103"/>
      <c r="J126" s="58">
        <f t="shared" si="8"/>
        <v>0</v>
      </c>
      <c r="K126" s="58">
        <f t="shared" si="9"/>
        <v>0</v>
      </c>
      <c r="L126" s="58">
        <f t="shared" si="10"/>
        <v>0</v>
      </c>
      <c r="M126" s="58">
        <f t="shared" si="11"/>
        <v>0</v>
      </c>
      <c r="N126" s="58"/>
    </row>
    <row r="127" spans="1:14" x14ac:dyDescent="0.25">
      <c r="A127" s="4">
        <v>126</v>
      </c>
      <c r="B127" s="133" t="s">
        <v>596</v>
      </c>
      <c r="C127" s="134">
        <v>40695</v>
      </c>
      <c r="D127" s="103"/>
      <c r="E127" s="103"/>
      <c r="F127" s="103"/>
      <c r="G127" s="103"/>
      <c r="H127" s="103"/>
      <c r="I127" s="103"/>
      <c r="J127" s="58">
        <f t="shared" si="8"/>
        <v>0</v>
      </c>
      <c r="K127" s="58">
        <f t="shared" si="9"/>
        <v>0</v>
      </c>
      <c r="L127" s="58">
        <f t="shared" si="10"/>
        <v>0</v>
      </c>
      <c r="M127" s="58">
        <f t="shared" si="11"/>
        <v>0</v>
      </c>
      <c r="N127" s="58"/>
    </row>
    <row r="128" spans="1:14" x14ac:dyDescent="0.25">
      <c r="A128" s="4">
        <v>127</v>
      </c>
      <c r="B128" s="133" t="s">
        <v>597</v>
      </c>
      <c r="C128" s="134">
        <v>42156</v>
      </c>
      <c r="D128" s="103"/>
      <c r="E128" s="103"/>
      <c r="F128" s="103"/>
      <c r="G128" s="103"/>
      <c r="H128" s="103"/>
      <c r="I128" s="103"/>
      <c r="J128" s="58">
        <f t="shared" si="8"/>
        <v>0</v>
      </c>
      <c r="K128" s="58">
        <f t="shared" si="9"/>
        <v>0</v>
      </c>
      <c r="L128" s="58">
        <f t="shared" si="10"/>
        <v>0</v>
      </c>
      <c r="M128" s="58">
        <f t="shared" si="11"/>
        <v>0</v>
      </c>
      <c r="N128" s="58"/>
    </row>
    <row r="129" spans="1:14" x14ac:dyDescent="0.25">
      <c r="A129" s="4">
        <v>128</v>
      </c>
      <c r="B129" s="133" t="s">
        <v>598</v>
      </c>
      <c r="C129" s="134">
        <v>44256</v>
      </c>
      <c r="D129" s="103"/>
      <c r="E129" s="103"/>
      <c r="F129" s="103"/>
      <c r="G129" s="103"/>
      <c r="H129" s="103"/>
      <c r="I129" s="103"/>
      <c r="J129" s="58">
        <f t="shared" si="8"/>
        <v>0</v>
      </c>
      <c r="K129" s="58">
        <f t="shared" si="9"/>
        <v>0</v>
      </c>
      <c r="L129" s="58">
        <f t="shared" si="10"/>
        <v>0</v>
      </c>
      <c r="M129" s="58">
        <f t="shared" si="11"/>
        <v>0</v>
      </c>
      <c r="N129" s="58"/>
    </row>
    <row r="130" spans="1:14" x14ac:dyDescent="0.25">
      <c r="A130" s="4">
        <v>129</v>
      </c>
      <c r="B130" s="133" t="s">
        <v>616</v>
      </c>
      <c r="C130" s="134">
        <v>44348</v>
      </c>
      <c r="D130" s="103"/>
      <c r="E130" s="103"/>
      <c r="F130" s="103"/>
      <c r="G130" s="103"/>
      <c r="H130" s="103"/>
      <c r="I130" s="103"/>
      <c r="J130" s="58">
        <f t="shared" si="8"/>
        <v>0</v>
      </c>
      <c r="K130" s="58">
        <f t="shared" si="9"/>
        <v>0</v>
      </c>
      <c r="L130" s="58">
        <f t="shared" si="10"/>
        <v>0</v>
      </c>
      <c r="M130" s="58">
        <f t="shared" si="11"/>
        <v>0</v>
      </c>
      <c r="N130" s="58"/>
    </row>
    <row r="131" spans="1:14" x14ac:dyDescent="0.25">
      <c r="A131" s="4">
        <v>130</v>
      </c>
      <c r="B131" s="133" t="s">
        <v>637</v>
      </c>
      <c r="C131" s="134">
        <v>44470</v>
      </c>
      <c r="D131" s="103"/>
      <c r="E131" s="103"/>
      <c r="F131" s="103"/>
      <c r="G131" s="103"/>
      <c r="H131" s="103"/>
      <c r="I131" s="103"/>
      <c r="J131" s="58">
        <f t="shared" si="8"/>
        <v>0</v>
      </c>
      <c r="K131" s="58">
        <f t="shared" si="9"/>
        <v>0</v>
      </c>
      <c r="L131" s="58">
        <f t="shared" si="10"/>
        <v>0</v>
      </c>
      <c r="M131" s="58">
        <f t="shared" si="11"/>
        <v>0</v>
      </c>
      <c r="N131" s="58"/>
    </row>
    <row r="132" spans="1:14" x14ac:dyDescent="0.25">
      <c r="A132" s="4">
        <v>131</v>
      </c>
      <c r="B132" s="133" t="s">
        <v>697</v>
      </c>
      <c r="C132" s="134">
        <v>44713</v>
      </c>
      <c r="D132" s="103"/>
      <c r="E132" s="103"/>
      <c r="F132" s="103"/>
      <c r="G132" s="103"/>
      <c r="H132" s="103"/>
      <c r="I132" s="103"/>
      <c r="J132" s="58">
        <f t="shared" si="8"/>
        <v>0</v>
      </c>
      <c r="K132" s="58">
        <f t="shared" si="9"/>
        <v>0</v>
      </c>
      <c r="L132" s="58">
        <f t="shared" si="10"/>
        <v>0</v>
      </c>
      <c r="M132" s="58">
        <f t="shared" si="11"/>
        <v>0</v>
      </c>
      <c r="N132" s="58"/>
    </row>
    <row r="133" spans="1:14" x14ac:dyDescent="0.25">
      <c r="A133" s="4">
        <v>132</v>
      </c>
      <c r="B133" s="133" t="s">
        <v>708</v>
      </c>
      <c r="C133" s="134">
        <v>45775</v>
      </c>
      <c r="D133" s="103">
        <v>45975</v>
      </c>
      <c r="E133" s="103">
        <v>46002</v>
      </c>
      <c r="F133" s="103"/>
      <c r="G133" s="103"/>
      <c r="H133" s="103"/>
      <c r="I133" s="103"/>
      <c r="J133" s="58">
        <f t="shared" si="8"/>
        <v>27</v>
      </c>
      <c r="K133" s="58">
        <f t="shared" si="9"/>
        <v>0</v>
      </c>
      <c r="L133" s="58">
        <f t="shared" si="10"/>
        <v>0</v>
      </c>
      <c r="M133" s="58">
        <f t="shared" si="11"/>
        <v>27</v>
      </c>
      <c r="N133" s="58"/>
    </row>
    <row r="134" spans="1:14" x14ac:dyDescent="0.25">
      <c r="A134" s="4">
        <v>133</v>
      </c>
      <c r="B134" s="133" t="s">
        <v>704</v>
      </c>
      <c r="C134" s="134">
        <v>45434</v>
      </c>
      <c r="D134" s="103">
        <v>45705</v>
      </c>
      <c r="E134" s="103">
        <v>45723</v>
      </c>
      <c r="F134" s="103"/>
      <c r="G134" s="103"/>
      <c r="H134" s="103"/>
      <c r="I134" s="103"/>
      <c r="J134" s="58">
        <f t="shared" ref="J134" si="12">E134-D134</f>
        <v>18</v>
      </c>
      <c r="K134" s="58">
        <f t="shared" ref="K134" si="13">G134-F134</f>
        <v>0</v>
      </c>
      <c r="L134" s="58">
        <f t="shared" ref="L134" si="14">I134-H134</f>
        <v>0</v>
      </c>
      <c r="M134" s="58">
        <f t="shared" ref="M134" si="15">J134+K134+L134</f>
        <v>18</v>
      </c>
      <c r="N134" s="58"/>
    </row>
    <row r="138" spans="1:14" ht="27" customHeight="1" x14ac:dyDescent="0.3">
      <c r="C138" s="129" t="s">
        <v>685</v>
      </c>
    </row>
    <row r="142" spans="1:14" x14ac:dyDescent="0.25">
      <c r="A142" s="4">
        <v>5</v>
      </c>
      <c r="B142" s="133" t="s">
        <v>481</v>
      </c>
      <c r="C142" s="134">
        <v>44866</v>
      </c>
      <c r="D142" s="103"/>
      <c r="E142" s="103"/>
      <c r="F142" s="103"/>
      <c r="G142" s="103"/>
      <c r="H142" s="103"/>
      <c r="I142" s="103"/>
      <c r="J142" s="58">
        <f t="shared" ref="J142:J149" si="16">E142-D142</f>
        <v>0</v>
      </c>
      <c r="K142" s="58">
        <f t="shared" ref="K142:K149" si="17">G142-F142</f>
        <v>0</v>
      </c>
      <c r="L142" s="58">
        <f t="shared" ref="L142:L149" si="18">I142-H142</f>
        <v>0</v>
      </c>
      <c r="M142" s="58">
        <f t="shared" ref="M142:M149" si="19">J142+K142+L142</f>
        <v>0</v>
      </c>
      <c r="N142" s="58"/>
    </row>
    <row r="143" spans="1:14" x14ac:dyDescent="0.25">
      <c r="A143" s="4">
        <v>6</v>
      </c>
      <c r="B143" s="133" t="s">
        <v>603</v>
      </c>
      <c r="C143" s="134">
        <v>44900</v>
      </c>
      <c r="D143" s="103"/>
      <c r="E143" s="103"/>
      <c r="F143" s="103"/>
      <c r="G143" s="103"/>
      <c r="H143" s="103"/>
      <c r="I143" s="103"/>
      <c r="J143" s="58">
        <f t="shared" si="16"/>
        <v>0</v>
      </c>
      <c r="K143" s="58">
        <f t="shared" si="17"/>
        <v>0</v>
      </c>
      <c r="L143" s="58">
        <f t="shared" si="18"/>
        <v>0</v>
      </c>
      <c r="M143" s="58">
        <f t="shared" si="19"/>
        <v>0</v>
      </c>
      <c r="N143" s="58"/>
    </row>
    <row r="144" spans="1:14" x14ac:dyDescent="0.25">
      <c r="A144" s="4">
        <v>64</v>
      </c>
      <c r="B144" s="133" t="s">
        <v>563</v>
      </c>
      <c r="C144" s="134">
        <v>44774</v>
      </c>
      <c r="D144" s="103"/>
      <c r="E144" s="103"/>
      <c r="F144" s="103"/>
      <c r="G144" s="103"/>
      <c r="H144" s="103"/>
      <c r="I144" s="103"/>
      <c r="J144" s="58">
        <f t="shared" si="16"/>
        <v>0</v>
      </c>
      <c r="K144" s="58">
        <f t="shared" si="17"/>
        <v>0</v>
      </c>
      <c r="L144" s="58">
        <f t="shared" si="18"/>
        <v>0</v>
      </c>
      <c r="M144" s="58">
        <f t="shared" si="19"/>
        <v>0</v>
      </c>
      <c r="N144" s="58"/>
    </row>
    <row r="145" spans="1:14" x14ac:dyDescent="0.25">
      <c r="A145" s="4">
        <v>113</v>
      </c>
      <c r="B145" s="133" t="s">
        <v>43</v>
      </c>
      <c r="C145" s="134">
        <v>42979</v>
      </c>
      <c r="D145" s="103"/>
      <c r="E145" s="103"/>
      <c r="F145" s="103"/>
      <c r="G145" s="103"/>
      <c r="H145" s="103"/>
      <c r="I145" s="103"/>
      <c r="J145" s="58">
        <f t="shared" si="16"/>
        <v>0</v>
      </c>
      <c r="K145" s="58">
        <f t="shared" si="17"/>
        <v>0</v>
      </c>
      <c r="L145" s="58">
        <f t="shared" si="18"/>
        <v>0</v>
      </c>
      <c r="M145" s="58">
        <f t="shared" si="19"/>
        <v>0</v>
      </c>
      <c r="N145" s="58"/>
    </row>
    <row r="146" spans="1:14" x14ac:dyDescent="0.25">
      <c r="A146" s="4">
        <v>66</v>
      </c>
      <c r="B146" s="133" t="s">
        <v>602</v>
      </c>
      <c r="C146" s="115">
        <v>44893</v>
      </c>
      <c r="D146" s="103"/>
      <c r="E146" s="103"/>
      <c r="F146" s="103"/>
      <c r="G146" s="103"/>
      <c r="H146" s="103"/>
      <c r="I146" s="103"/>
      <c r="J146" s="58">
        <f t="shared" si="16"/>
        <v>0</v>
      </c>
      <c r="K146" s="58">
        <f t="shared" si="17"/>
        <v>0</v>
      </c>
      <c r="L146" s="58">
        <f t="shared" si="18"/>
        <v>0</v>
      </c>
      <c r="M146" s="58">
        <f t="shared" si="19"/>
        <v>0</v>
      </c>
      <c r="N146" s="58"/>
    </row>
    <row r="147" spans="1:14" x14ac:dyDescent="0.25">
      <c r="A147" s="4">
        <v>57</v>
      </c>
      <c r="B147" s="133" t="s">
        <v>556</v>
      </c>
      <c r="C147" s="134">
        <v>44682</v>
      </c>
      <c r="D147" s="103"/>
      <c r="E147" s="103"/>
      <c r="F147" s="103"/>
      <c r="G147" s="103"/>
      <c r="H147" s="103"/>
      <c r="I147" s="103"/>
      <c r="J147" s="58">
        <f t="shared" si="16"/>
        <v>0</v>
      </c>
      <c r="K147" s="58">
        <f t="shared" si="17"/>
        <v>0</v>
      </c>
      <c r="L147" s="58">
        <f t="shared" si="18"/>
        <v>0</v>
      </c>
      <c r="M147" s="58">
        <f t="shared" si="19"/>
        <v>0</v>
      </c>
      <c r="N147" s="58"/>
    </row>
    <row r="148" spans="1:14" x14ac:dyDescent="0.25">
      <c r="A148" s="4">
        <v>87</v>
      </c>
      <c r="B148" s="133" t="s">
        <v>655</v>
      </c>
      <c r="C148" s="115">
        <v>45325</v>
      </c>
      <c r="D148" s="103"/>
      <c r="E148" s="103"/>
      <c r="F148" s="103"/>
      <c r="G148" s="103"/>
      <c r="H148" s="103"/>
      <c r="I148" s="103"/>
      <c r="J148" s="58">
        <f t="shared" si="16"/>
        <v>0</v>
      </c>
      <c r="K148" s="58">
        <f t="shared" si="17"/>
        <v>0</v>
      </c>
      <c r="L148" s="58">
        <f t="shared" si="18"/>
        <v>0</v>
      </c>
      <c r="M148" s="58">
        <f t="shared" si="19"/>
        <v>0</v>
      </c>
      <c r="N148" s="58"/>
    </row>
    <row r="149" spans="1:14" x14ac:dyDescent="0.25">
      <c r="A149" s="4">
        <v>6</v>
      </c>
      <c r="B149" s="133" t="s">
        <v>636</v>
      </c>
      <c r="C149" s="115">
        <v>45114</v>
      </c>
      <c r="D149" s="103"/>
      <c r="E149" s="103"/>
      <c r="F149" s="103"/>
      <c r="G149" s="103"/>
      <c r="H149" s="103"/>
      <c r="I149" s="103"/>
      <c r="J149" s="58">
        <f t="shared" si="16"/>
        <v>0</v>
      </c>
      <c r="K149" s="58">
        <f t="shared" si="17"/>
        <v>0</v>
      </c>
      <c r="L149" s="58">
        <f t="shared" si="18"/>
        <v>0</v>
      </c>
      <c r="M149" s="58">
        <f t="shared" si="19"/>
        <v>0</v>
      </c>
      <c r="N149" s="58"/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04"/>
  <sheetViews>
    <sheetView workbookViewId="0">
      <pane ySplit="1" topLeftCell="A2" activePane="bottomLeft" state="frozen"/>
      <selection pane="bottomLeft" activeCell="C24" sqref="C24"/>
    </sheetView>
  </sheetViews>
  <sheetFormatPr defaultRowHeight="15" x14ac:dyDescent="0.25"/>
  <cols>
    <col min="1" max="1" width="11.42578125" style="88" customWidth="1"/>
    <col min="2" max="2" width="54.28515625" style="88" customWidth="1"/>
    <col min="3" max="3" width="23.28515625" style="82" customWidth="1"/>
    <col min="4" max="4" width="15.5703125" style="88" customWidth="1"/>
    <col min="5" max="5" width="17.7109375" style="88" customWidth="1"/>
    <col min="6" max="6" width="12" style="88" customWidth="1"/>
    <col min="7" max="7" width="10.5703125" style="88" customWidth="1"/>
    <col min="8" max="8" width="12.28515625" style="88" customWidth="1"/>
    <col min="9" max="9" width="11.28515625" style="88" customWidth="1"/>
    <col min="10" max="10" width="5.42578125" style="88" customWidth="1"/>
    <col min="11" max="11" width="8.140625" style="88" customWidth="1"/>
    <col min="12" max="12" width="5.42578125" style="88" customWidth="1"/>
    <col min="13" max="13" width="9.7109375" style="88" customWidth="1"/>
    <col min="14" max="14" width="9" style="88" customWidth="1"/>
  </cols>
  <sheetData>
    <row r="1" spans="1:14" ht="37.5" customHeight="1" x14ac:dyDescent="0.25">
      <c r="A1" s="90" t="s">
        <v>600</v>
      </c>
      <c r="B1" s="90" t="s">
        <v>126</v>
      </c>
      <c r="C1" s="71" t="s">
        <v>131</v>
      </c>
      <c r="D1" s="144" t="s">
        <v>127</v>
      </c>
      <c r="E1" s="144"/>
      <c r="F1" s="144" t="s">
        <v>128</v>
      </c>
      <c r="G1" s="144"/>
      <c r="H1" s="144" t="s">
        <v>215</v>
      </c>
      <c r="I1" s="144"/>
      <c r="J1" s="80">
        <v>1</v>
      </c>
      <c r="K1" s="80">
        <v>2</v>
      </c>
      <c r="L1" s="80">
        <v>3</v>
      </c>
      <c r="M1" s="80" t="s">
        <v>72</v>
      </c>
      <c r="N1" s="80" t="s">
        <v>378</v>
      </c>
    </row>
    <row r="2" spans="1:14" x14ac:dyDescent="0.25">
      <c r="A2" s="91" t="s">
        <v>480</v>
      </c>
      <c r="B2" s="91" t="s">
        <v>490</v>
      </c>
      <c r="C2" s="124">
        <v>39295</v>
      </c>
      <c r="D2" s="103"/>
      <c r="E2" s="103"/>
      <c r="F2" s="103"/>
      <c r="G2" s="103"/>
      <c r="H2" s="103"/>
      <c r="I2" s="103"/>
      <c r="J2" s="58">
        <f t="shared" ref="J2" si="0">E2-D2</f>
        <v>0</v>
      </c>
      <c r="K2" s="58">
        <f>G2-F2</f>
        <v>0</v>
      </c>
      <c r="L2" s="58">
        <f>I2-H2</f>
        <v>0</v>
      </c>
      <c r="M2" s="58">
        <f>J2+K2+L2</f>
        <v>0</v>
      </c>
      <c r="N2" s="58"/>
    </row>
    <row r="3" spans="1:14" x14ac:dyDescent="0.25">
      <c r="A3" s="91" t="s">
        <v>353</v>
      </c>
      <c r="B3" s="91" t="s">
        <v>491</v>
      </c>
      <c r="C3" s="124">
        <v>41883</v>
      </c>
      <c r="D3" s="103">
        <v>45412</v>
      </c>
      <c r="E3" s="103">
        <v>45436</v>
      </c>
      <c r="F3" s="119"/>
      <c r="G3" s="119"/>
      <c r="H3" s="58"/>
      <c r="I3" s="58"/>
      <c r="J3" s="58">
        <f t="shared" ref="J3:J66" si="1">E3-D3</f>
        <v>24</v>
      </c>
      <c r="K3" s="58">
        <f t="shared" ref="K3:K66" si="2">G3-F3</f>
        <v>0</v>
      </c>
      <c r="L3" s="58">
        <f t="shared" ref="L3:L66" si="3">I3-H3</f>
        <v>0</v>
      </c>
      <c r="M3" s="58">
        <f t="shared" ref="M3:M66" si="4">J3+K3+L3</f>
        <v>24</v>
      </c>
      <c r="N3" s="58"/>
    </row>
    <row r="4" spans="1:14" x14ac:dyDescent="0.25">
      <c r="A4" s="91" t="s">
        <v>354</v>
      </c>
      <c r="B4" s="91" t="s">
        <v>492</v>
      </c>
      <c r="C4" s="124">
        <v>42736</v>
      </c>
      <c r="D4" s="103"/>
      <c r="E4" s="103"/>
      <c r="F4" s="58"/>
      <c r="G4" s="58"/>
      <c r="H4" s="58"/>
      <c r="I4" s="58"/>
      <c r="J4" s="58">
        <f t="shared" si="1"/>
        <v>0</v>
      </c>
      <c r="K4" s="58">
        <f t="shared" si="2"/>
        <v>0</v>
      </c>
      <c r="L4" s="58">
        <f t="shared" si="3"/>
        <v>0</v>
      </c>
      <c r="M4" s="58">
        <f t="shared" si="4"/>
        <v>0</v>
      </c>
      <c r="N4" s="58"/>
    </row>
    <row r="5" spans="1:14" x14ac:dyDescent="0.25">
      <c r="A5" s="91" t="s">
        <v>355</v>
      </c>
      <c r="B5" s="91" t="s">
        <v>493</v>
      </c>
      <c r="C5" s="124">
        <v>40695</v>
      </c>
      <c r="D5" s="103"/>
      <c r="E5" s="103"/>
      <c r="F5" s="103"/>
      <c r="G5" s="103"/>
      <c r="H5" s="58"/>
      <c r="I5" s="58"/>
      <c r="J5" s="58">
        <f t="shared" si="1"/>
        <v>0</v>
      </c>
      <c r="K5" s="58">
        <f t="shared" si="2"/>
        <v>0</v>
      </c>
      <c r="L5" s="58">
        <f t="shared" si="3"/>
        <v>0</v>
      </c>
      <c r="M5" s="58">
        <f t="shared" si="4"/>
        <v>0</v>
      </c>
      <c r="N5" s="58"/>
    </row>
    <row r="6" spans="1:14" x14ac:dyDescent="0.25">
      <c r="A6" s="91" t="s">
        <v>356</v>
      </c>
      <c r="B6" s="91" t="s">
        <v>494</v>
      </c>
      <c r="C6" s="124">
        <v>44317</v>
      </c>
      <c r="D6" s="103">
        <v>45292</v>
      </c>
      <c r="E6" s="103">
        <v>45318</v>
      </c>
      <c r="F6" s="103"/>
      <c r="G6" s="103"/>
      <c r="H6" s="58"/>
      <c r="I6" s="58"/>
      <c r="J6" s="58">
        <f t="shared" si="1"/>
        <v>26</v>
      </c>
      <c r="K6" s="58">
        <f t="shared" si="2"/>
        <v>0</v>
      </c>
      <c r="L6" s="58">
        <f t="shared" si="3"/>
        <v>0</v>
      </c>
      <c r="M6" s="58">
        <f t="shared" si="4"/>
        <v>26</v>
      </c>
      <c r="N6" s="58"/>
    </row>
    <row r="7" spans="1:14" x14ac:dyDescent="0.25">
      <c r="A7" s="91" t="s">
        <v>357</v>
      </c>
      <c r="B7" s="91" t="s">
        <v>495</v>
      </c>
      <c r="C7" s="124">
        <v>44501</v>
      </c>
      <c r="D7" s="103"/>
      <c r="E7" s="103"/>
      <c r="F7" s="103"/>
      <c r="G7" s="103"/>
      <c r="H7" s="58"/>
      <c r="I7" s="58"/>
      <c r="J7" s="58">
        <f t="shared" si="1"/>
        <v>0</v>
      </c>
      <c r="K7" s="58">
        <f t="shared" si="2"/>
        <v>0</v>
      </c>
      <c r="L7" s="58">
        <f t="shared" si="3"/>
        <v>0</v>
      </c>
      <c r="M7" s="58">
        <f t="shared" si="4"/>
        <v>0</v>
      </c>
      <c r="N7" s="58"/>
    </row>
    <row r="8" spans="1:14" x14ac:dyDescent="0.25">
      <c r="A8" s="91" t="s">
        <v>358</v>
      </c>
      <c r="B8" s="91" t="s">
        <v>496</v>
      </c>
      <c r="C8" s="124">
        <v>44317</v>
      </c>
      <c r="D8" s="103"/>
      <c r="E8" s="103"/>
      <c r="F8" s="103"/>
      <c r="G8" s="103"/>
      <c r="H8" s="58"/>
      <c r="I8" s="58"/>
      <c r="J8" s="58">
        <f t="shared" si="1"/>
        <v>0</v>
      </c>
      <c r="K8" s="58">
        <f t="shared" si="2"/>
        <v>0</v>
      </c>
      <c r="L8" s="58">
        <f t="shared" si="3"/>
        <v>0</v>
      </c>
      <c r="M8" s="58">
        <f t="shared" si="4"/>
        <v>0</v>
      </c>
      <c r="N8" s="58"/>
    </row>
    <row r="9" spans="1:14" x14ac:dyDescent="0.25">
      <c r="A9" s="91" t="s">
        <v>359</v>
      </c>
      <c r="B9" s="91" t="s">
        <v>497</v>
      </c>
      <c r="C9" s="124">
        <v>39083</v>
      </c>
      <c r="D9" s="103">
        <v>45492</v>
      </c>
      <c r="E9" s="103">
        <v>45497</v>
      </c>
      <c r="F9" s="103">
        <v>45511</v>
      </c>
      <c r="G9" s="103">
        <v>45514</v>
      </c>
      <c r="H9" s="103"/>
      <c r="I9" s="103"/>
      <c r="J9" s="58">
        <f t="shared" si="1"/>
        <v>5</v>
      </c>
      <c r="K9" s="58">
        <f t="shared" si="2"/>
        <v>3</v>
      </c>
      <c r="L9" s="58">
        <f t="shared" si="3"/>
        <v>0</v>
      </c>
      <c r="M9" s="58">
        <f t="shared" si="4"/>
        <v>8</v>
      </c>
      <c r="N9" s="58"/>
    </row>
    <row r="10" spans="1:14" x14ac:dyDescent="0.25">
      <c r="A10" s="91" t="s">
        <v>360</v>
      </c>
      <c r="B10" s="91" t="s">
        <v>498</v>
      </c>
      <c r="C10" s="124">
        <v>39083</v>
      </c>
      <c r="D10" s="103">
        <v>45329</v>
      </c>
      <c r="E10" s="103">
        <v>45341</v>
      </c>
      <c r="F10" s="103">
        <v>45645</v>
      </c>
      <c r="G10" s="103">
        <v>45657</v>
      </c>
      <c r="H10" s="103"/>
      <c r="I10" s="103"/>
      <c r="J10" s="58">
        <f t="shared" si="1"/>
        <v>12</v>
      </c>
      <c r="K10" s="58">
        <f t="shared" si="2"/>
        <v>12</v>
      </c>
      <c r="L10" s="58">
        <f t="shared" si="3"/>
        <v>0</v>
      </c>
      <c r="M10" s="58">
        <f t="shared" si="4"/>
        <v>24</v>
      </c>
      <c r="N10" s="58"/>
    </row>
    <row r="11" spans="1:14" x14ac:dyDescent="0.25">
      <c r="A11" s="91" t="s">
        <v>361</v>
      </c>
      <c r="B11" s="91" t="s">
        <v>499</v>
      </c>
      <c r="C11" s="124">
        <v>39083</v>
      </c>
      <c r="D11" s="103">
        <v>45467</v>
      </c>
      <c r="E11" s="103">
        <v>45472</v>
      </c>
      <c r="F11" s="103">
        <v>45505</v>
      </c>
      <c r="G11" s="103">
        <v>45515</v>
      </c>
      <c r="H11" s="58"/>
      <c r="I11" s="58"/>
      <c r="J11" s="58">
        <f t="shared" si="1"/>
        <v>5</v>
      </c>
      <c r="K11" s="58">
        <f t="shared" si="2"/>
        <v>10</v>
      </c>
      <c r="L11" s="58">
        <f t="shared" si="3"/>
        <v>0</v>
      </c>
      <c r="M11" s="58">
        <f t="shared" si="4"/>
        <v>15</v>
      </c>
      <c r="N11" s="58"/>
    </row>
    <row r="12" spans="1:14" x14ac:dyDescent="0.25">
      <c r="A12" s="91" t="s">
        <v>362</v>
      </c>
      <c r="B12" s="91" t="s">
        <v>12</v>
      </c>
      <c r="C12" s="124">
        <v>39142</v>
      </c>
      <c r="D12" s="103">
        <v>45510</v>
      </c>
      <c r="E12" s="103">
        <v>45512</v>
      </c>
      <c r="F12" s="103"/>
      <c r="G12" s="103"/>
      <c r="H12" s="58"/>
      <c r="I12" s="58"/>
      <c r="J12" s="58">
        <f t="shared" si="1"/>
        <v>2</v>
      </c>
      <c r="K12" s="58">
        <f t="shared" si="2"/>
        <v>0</v>
      </c>
      <c r="L12" s="58">
        <f t="shared" si="3"/>
        <v>0</v>
      </c>
      <c r="M12" s="58">
        <f t="shared" si="4"/>
        <v>2</v>
      </c>
      <c r="N12" s="58"/>
    </row>
    <row r="13" spans="1:14" x14ac:dyDescent="0.25">
      <c r="A13" s="91" t="s">
        <v>363</v>
      </c>
      <c r="B13" s="91" t="s">
        <v>500</v>
      </c>
      <c r="C13" s="125">
        <v>42036</v>
      </c>
      <c r="D13" s="103">
        <v>45495</v>
      </c>
      <c r="E13" s="103">
        <v>45508</v>
      </c>
      <c r="F13" s="121"/>
      <c r="G13" s="121"/>
      <c r="H13" s="121"/>
      <c r="I13" s="121"/>
      <c r="J13" s="58">
        <f t="shared" si="1"/>
        <v>13</v>
      </c>
      <c r="K13" s="58">
        <f t="shared" si="2"/>
        <v>0</v>
      </c>
      <c r="L13" s="58">
        <f t="shared" si="3"/>
        <v>0</v>
      </c>
      <c r="M13" s="58">
        <f t="shared" si="4"/>
        <v>13</v>
      </c>
      <c r="N13" s="89"/>
    </row>
    <row r="14" spans="1:14" x14ac:dyDescent="0.25">
      <c r="A14" s="91" t="s">
        <v>364</v>
      </c>
      <c r="B14" s="91" t="s">
        <v>501</v>
      </c>
      <c r="C14" s="124">
        <v>39083</v>
      </c>
      <c r="D14" s="103">
        <v>45508</v>
      </c>
      <c r="E14" s="103">
        <v>45536</v>
      </c>
      <c r="F14" s="58"/>
      <c r="G14" s="58"/>
      <c r="H14" s="58"/>
      <c r="I14" s="58"/>
      <c r="J14" s="58">
        <f t="shared" si="1"/>
        <v>28</v>
      </c>
      <c r="K14" s="58">
        <f t="shared" si="2"/>
        <v>0</v>
      </c>
      <c r="L14" s="58">
        <f t="shared" si="3"/>
        <v>0</v>
      </c>
      <c r="M14" s="58">
        <f t="shared" si="4"/>
        <v>28</v>
      </c>
      <c r="N14" s="58"/>
    </row>
    <row r="15" spans="1:14" x14ac:dyDescent="0.25">
      <c r="A15" s="91" t="s">
        <v>365</v>
      </c>
      <c r="B15" s="91" t="s">
        <v>502</v>
      </c>
      <c r="C15" s="124">
        <v>41334</v>
      </c>
      <c r="D15" s="103">
        <v>45516</v>
      </c>
      <c r="E15" s="103">
        <v>45535</v>
      </c>
      <c r="F15" s="58"/>
      <c r="G15" s="58"/>
      <c r="H15" s="58"/>
      <c r="I15" s="58"/>
      <c r="J15" s="58">
        <f t="shared" si="1"/>
        <v>19</v>
      </c>
      <c r="K15" s="58">
        <f t="shared" si="2"/>
        <v>0</v>
      </c>
      <c r="L15" s="58">
        <f t="shared" si="3"/>
        <v>0</v>
      </c>
      <c r="M15" s="58">
        <f t="shared" si="4"/>
        <v>19</v>
      </c>
      <c r="N15" s="58"/>
    </row>
    <row r="16" spans="1:14" x14ac:dyDescent="0.25">
      <c r="A16" s="91" t="s">
        <v>366</v>
      </c>
      <c r="B16" s="91" t="s">
        <v>503</v>
      </c>
      <c r="C16" s="126">
        <v>40483</v>
      </c>
      <c r="D16" s="103">
        <v>45624</v>
      </c>
      <c r="E16" s="103">
        <v>45652</v>
      </c>
      <c r="F16" s="103"/>
      <c r="G16" s="103"/>
      <c r="H16" s="58"/>
      <c r="I16" s="58"/>
      <c r="J16" s="58">
        <f t="shared" si="1"/>
        <v>28</v>
      </c>
      <c r="K16" s="58">
        <f t="shared" si="2"/>
        <v>0</v>
      </c>
      <c r="L16" s="58">
        <f t="shared" si="3"/>
        <v>0</v>
      </c>
      <c r="M16" s="58">
        <f t="shared" si="4"/>
        <v>28</v>
      </c>
      <c r="N16" s="58"/>
    </row>
    <row r="17" spans="1:14" x14ac:dyDescent="0.25">
      <c r="A17" s="91" t="s">
        <v>367</v>
      </c>
      <c r="B17" s="91" t="s">
        <v>504</v>
      </c>
      <c r="C17" s="126">
        <v>44652</v>
      </c>
      <c r="D17" s="103">
        <v>45380</v>
      </c>
      <c r="E17" s="103">
        <v>45417</v>
      </c>
      <c r="F17" s="103"/>
      <c r="G17" s="103"/>
      <c r="H17" s="58"/>
      <c r="I17" s="58"/>
      <c r="J17" s="58">
        <f t="shared" si="1"/>
        <v>37</v>
      </c>
      <c r="K17" s="58">
        <f t="shared" si="2"/>
        <v>0</v>
      </c>
      <c r="L17" s="58">
        <f t="shared" si="3"/>
        <v>0</v>
      </c>
      <c r="M17" s="58">
        <f t="shared" si="4"/>
        <v>37</v>
      </c>
      <c r="N17" s="58"/>
    </row>
    <row r="18" spans="1:14" ht="15.75" customHeight="1" x14ac:dyDescent="0.25">
      <c r="A18" s="91" t="s">
        <v>368</v>
      </c>
      <c r="B18" s="91" t="s">
        <v>505</v>
      </c>
      <c r="C18" s="126">
        <v>44652</v>
      </c>
      <c r="D18" s="103"/>
      <c r="E18" s="103"/>
      <c r="F18" s="103"/>
      <c r="G18" s="103"/>
      <c r="H18" s="58"/>
      <c r="I18" s="58"/>
      <c r="J18" s="58">
        <f t="shared" si="1"/>
        <v>0</v>
      </c>
      <c r="K18" s="58">
        <f t="shared" si="2"/>
        <v>0</v>
      </c>
      <c r="L18" s="58">
        <f t="shared" si="3"/>
        <v>0</v>
      </c>
      <c r="M18" s="58">
        <f t="shared" si="4"/>
        <v>0</v>
      </c>
      <c r="N18" s="58"/>
    </row>
    <row r="19" spans="1:14" x14ac:dyDescent="0.25">
      <c r="A19" s="91" t="s">
        <v>369</v>
      </c>
      <c r="B19" s="91" t="s">
        <v>506</v>
      </c>
      <c r="C19" s="126">
        <v>44652</v>
      </c>
      <c r="D19" s="103">
        <v>45478</v>
      </c>
      <c r="E19" s="103">
        <v>45504</v>
      </c>
      <c r="F19" s="103"/>
      <c r="G19" s="103"/>
      <c r="H19" s="58"/>
      <c r="I19" s="58"/>
      <c r="J19" s="58">
        <f t="shared" si="1"/>
        <v>26</v>
      </c>
      <c r="K19" s="58">
        <f t="shared" si="2"/>
        <v>0</v>
      </c>
      <c r="L19" s="58">
        <f t="shared" si="3"/>
        <v>0</v>
      </c>
      <c r="M19" s="58">
        <f t="shared" si="4"/>
        <v>26</v>
      </c>
      <c r="N19" s="58"/>
    </row>
    <row r="20" spans="1:14" x14ac:dyDescent="0.25">
      <c r="A20" s="91" t="s">
        <v>370</v>
      </c>
      <c r="B20" s="91" t="s">
        <v>507</v>
      </c>
      <c r="C20" s="126">
        <v>41244</v>
      </c>
      <c r="D20" s="103"/>
      <c r="E20" s="103"/>
      <c r="F20" s="58"/>
      <c r="G20" s="58"/>
      <c r="H20" s="58"/>
      <c r="I20" s="58"/>
      <c r="J20" s="58">
        <f t="shared" si="1"/>
        <v>0</v>
      </c>
      <c r="K20" s="58">
        <f t="shared" si="2"/>
        <v>0</v>
      </c>
      <c r="L20" s="58">
        <f t="shared" si="3"/>
        <v>0</v>
      </c>
      <c r="M20" s="58">
        <f t="shared" si="4"/>
        <v>0</v>
      </c>
      <c r="N20" s="58"/>
    </row>
    <row r="21" spans="1:14" x14ac:dyDescent="0.25">
      <c r="A21" s="91" t="s">
        <v>371</v>
      </c>
      <c r="B21" s="91" t="s">
        <v>508</v>
      </c>
      <c r="C21" s="126">
        <v>41518</v>
      </c>
      <c r="D21" s="103"/>
      <c r="E21" s="103"/>
      <c r="F21" s="58"/>
      <c r="G21" s="58"/>
      <c r="H21" s="58"/>
      <c r="I21" s="58"/>
      <c r="J21" s="58">
        <f t="shared" si="1"/>
        <v>0</v>
      </c>
      <c r="K21" s="58">
        <f t="shared" si="2"/>
        <v>0</v>
      </c>
      <c r="L21" s="58">
        <f t="shared" si="3"/>
        <v>0</v>
      </c>
      <c r="M21" s="58">
        <f t="shared" si="4"/>
        <v>0</v>
      </c>
      <c r="N21" s="58"/>
    </row>
    <row r="22" spans="1:14" x14ac:dyDescent="0.25">
      <c r="A22" s="91" t="s">
        <v>372</v>
      </c>
      <c r="B22" s="91" t="s">
        <v>509</v>
      </c>
      <c r="C22" s="126">
        <v>41883</v>
      </c>
      <c r="D22" s="103"/>
      <c r="E22" s="103"/>
      <c r="F22" s="103"/>
      <c r="G22" s="103"/>
      <c r="H22" s="58"/>
      <c r="I22" s="58"/>
      <c r="J22" s="58">
        <f t="shared" si="1"/>
        <v>0</v>
      </c>
      <c r="K22" s="58">
        <f t="shared" si="2"/>
        <v>0</v>
      </c>
      <c r="L22" s="58">
        <f t="shared" si="3"/>
        <v>0</v>
      </c>
      <c r="M22" s="58">
        <f t="shared" si="4"/>
        <v>0</v>
      </c>
      <c r="N22" s="58"/>
    </row>
    <row r="23" spans="1:14" x14ac:dyDescent="0.25">
      <c r="A23" s="91" t="s">
        <v>373</v>
      </c>
      <c r="B23" s="91" t="s">
        <v>510</v>
      </c>
      <c r="C23" s="126">
        <v>41913</v>
      </c>
      <c r="D23" s="103">
        <v>45305</v>
      </c>
      <c r="E23" s="103">
        <v>45326</v>
      </c>
      <c r="F23" s="103">
        <v>45558</v>
      </c>
      <c r="G23" s="103">
        <v>45578</v>
      </c>
      <c r="H23" s="58"/>
      <c r="I23" s="58"/>
      <c r="J23" s="58">
        <f t="shared" si="1"/>
        <v>21</v>
      </c>
      <c r="K23" s="58">
        <f t="shared" si="2"/>
        <v>20</v>
      </c>
      <c r="L23" s="58">
        <f t="shared" si="3"/>
        <v>0</v>
      </c>
      <c r="M23" s="58">
        <f t="shared" si="4"/>
        <v>41</v>
      </c>
      <c r="N23" s="58"/>
    </row>
    <row r="24" spans="1:14" x14ac:dyDescent="0.25">
      <c r="A24" s="91" t="s">
        <v>374</v>
      </c>
      <c r="B24" s="91" t="s">
        <v>511</v>
      </c>
      <c r="C24" s="44">
        <v>42005</v>
      </c>
      <c r="D24" s="103"/>
      <c r="E24" s="103"/>
      <c r="F24" s="103"/>
      <c r="G24" s="103"/>
      <c r="H24" s="58"/>
      <c r="I24" s="58"/>
      <c r="J24" s="58">
        <f t="shared" si="1"/>
        <v>0</v>
      </c>
      <c r="K24" s="58">
        <f t="shared" si="2"/>
        <v>0</v>
      </c>
      <c r="L24" s="58">
        <f t="shared" si="3"/>
        <v>0</v>
      </c>
      <c r="M24" s="58">
        <f t="shared" si="4"/>
        <v>0</v>
      </c>
      <c r="N24" s="58"/>
    </row>
    <row r="25" spans="1:14" x14ac:dyDescent="0.25">
      <c r="A25" s="91" t="s">
        <v>375</v>
      </c>
      <c r="B25" s="91" t="s">
        <v>512</v>
      </c>
      <c r="C25" s="126">
        <v>41760</v>
      </c>
      <c r="D25" s="103"/>
      <c r="E25" s="103"/>
      <c r="F25" s="58"/>
      <c r="G25" s="58"/>
      <c r="H25" s="58"/>
      <c r="I25" s="58"/>
      <c r="J25" s="58">
        <f t="shared" si="1"/>
        <v>0</v>
      </c>
      <c r="K25" s="58">
        <f t="shared" si="2"/>
        <v>0</v>
      </c>
      <c r="L25" s="58">
        <f t="shared" si="3"/>
        <v>0</v>
      </c>
      <c r="M25" s="58">
        <f t="shared" si="4"/>
        <v>0</v>
      </c>
      <c r="N25" s="58"/>
    </row>
    <row r="26" spans="1:14" x14ac:dyDescent="0.25">
      <c r="A26" s="91" t="s">
        <v>376</v>
      </c>
      <c r="B26" s="91" t="s">
        <v>513</v>
      </c>
      <c r="C26" s="126">
        <v>41760</v>
      </c>
      <c r="D26" s="103"/>
      <c r="E26" s="103"/>
      <c r="F26" s="58"/>
      <c r="G26" s="58"/>
      <c r="H26" s="58"/>
      <c r="I26" s="58"/>
      <c r="J26" s="58">
        <f t="shared" si="1"/>
        <v>0</v>
      </c>
      <c r="K26" s="58">
        <f t="shared" si="2"/>
        <v>0</v>
      </c>
      <c r="L26" s="58">
        <f t="shared" si="3"/>
        <v>0</v>
      </c>
      <c r="M26" s="58">
        <f t="shared" si="4"/>
        <v>0</v>
      </c>
      <c r="N26" s="58"/>
    </row>
    <row r="27" spans="1:14" x14ac:dyDescent="0.25">
      <c r="A27" s="91" t="s">
        <v>377</v>
      </c>
      <c r="B27" s="91" t="s">
        <v>514</v>
      </c>
      <c r="C27" s="126">
        <v>40878</v>
      </c>
      <c r="D27" s="103">
        <v>45416</v>
      </c>
      <c r="E27" s="103">
        <v>45478</v>
      </c>
      <c r="F27" s="58"/>
      <c r="G27" s="58"/>
      <c r="H27" s="58"/>
      <c r="I27" s="58"/>
      <c r="J27" s="58">
        <f t="shared" si="1"/>
        <v>62</v>
      </c>
      <c r="K27" s="58">
        <f t="shared" si="2"/>
        <v>0</v>
      </c>
      <c r="L27" s="58">
        <f t="shared" si="3"/>
        <v>0</v>
      </c>
      <c r="M27" s="58">
        <f t="shared" si="4"/>
        <v>62</v>
      </c>
      <c r="N27" s="58"/>
    </row>
    <row r="28" spans="1:14" x14ac:dyDescent="0.25">
      <c r="A28" s="91" t="s">
        <v>379</v>
      </c>
      <c r="B28" s="91" t="s">
        <v>515</v>
      </c>
      <c r="C28" s="126">
        <v>42430</v>
      </c>
      <c r="D28" s="103"/>
      <c r="E28" s="103"/>
      <c r="F28" s="58"/>
      <c r="G28" s="58"/>
      <c r="H28" s="58"/>
      <c r="I28" s="58"/>
      <c r="J28" s="58">
        <f t="shared" si="1"/>
        <v>0</v>
      </c>
      <c r="K28" s="58">
        <f t="shared" si="2"/>
        <v>0</v>
      </c>
      <c r="L28" s="58">
        <f t="shared" si="3"/>
        <v>0</v>
      </c>
      <c r="M28" s="58">
        <f t="shared" si="4"/>
        <v>0</v>
      </c>
      <c r="N28" s="58"/>
    </row>
    <row r="29" spans="1:14" x14ac:dyDescent="0.25">
      <c r="A29" s="91" t="s">
        <v>380</v>
      </c>
      <c r="B29" s="91" t="s">
        <v>516</v>
      </c>
      <c r="C29" s="126">
        <v>42522</v>
      </c>
      <c r="D29" s="103"/>
      <c r="E29" s="103"/>
      <c r="F29" s="58"/>
      <c r="G29" s="58"/>
      <c r="H29" s="58"/>
      <c r="I29" s="58"/>
      <c r="J29" s="58">
        <f t="shared" si="1"/>
        <v>0</v>
      </c>
      <c r="K29" s="58">
        <f t="shared" si="2"/>
        <v>0</v>
      </c>
      <c r="L29" s="58">
        <f t="shared" si="3"/>
        <v>0</v>
      </c>
      <c r="M29" s="58">
        <f t="shared" si="4"/>
        <v>0</v>
      </c>
      <c r="N29" s="58"/>
    </row>
    <row r="30" spans="1:14" x14ac:dyDescent="0.25">
      <c r="A30" s="91" t="s">
        <v>381</v>
      </c>
      <c r="B30" s="91" t="s">
        <v>517</v>
      </c>
      <c r="C30" s="126">
        <v>42614</v>
      </c>
      <c r="D30" s="103"/>
      <c r="E30" s="103"/>
      <c r="F30" s="58"/>
      <c r="G30" s="58"/>
      <c r="H30" s="58"/>
      <c r="I30" s="58"/>
      <c r="J30" s="58">
        <f t="shared" si="1"/>
        <v>0</v>
      </c>
      <c r="K30" s="58">
        <f t="shared" si="2"/>
        <v>0</v>
      </c>
      <c r="L30" s="58">
        <f t="shared" si="3"/>
        <v>0</v>
      </c>
      <c r="M30" s="58">
        <f t="shared" si="4"/>
        <v>0</v>
      </c>
      <c r="N30" s="58"/>
    </row>
    <row r="31" spans="1:14" x14ac:dyDescent="0.25">
      <c r="A31" s="91" t="s">
        <v>382</v>
      </c>
      <c r="B31" s="91" t="s">
        <v>518</v>
      </c>
      <c r="C31" s="126">
        <v>42644</v>
      </c>
      <c r="D31" s="103"/>
      <c r="E31" s="103"/>
      <c r="F31" s="58"/>
      <c r="G31" s="58"/>
      <c r="H31" s="58"/>
      <c r="I31" s="58"/>
      <c r="J31" s="58">
        <f t="shared" si="1"/>
        <v>0</v>
      </c>
      <c r="K31" s="58">
        <f t="shared" si="2"/>
        <v>0</v>
      </c>
      <c r="L31" s="58">
        <f t="shared" si="3"/>
        <v>0</v>
      </c>
      <c r="M31" s="58">
        <f t="shared" si="4"/>
        <v>0</v>
      </c>
      <c r="N31" s="58"/>
    </row>
    <row r="32" spans="1:14" x14ac:dyDescent="0.25">
      <c r="A32" s="91" t="s">
        <v>383</v>
      </c>
      <c r="B32" s="91" t="s">
        <v>519</v>
      </c>
      <c r="C32" s="126">
        <v>42675</v>
      </c>
      <c r="D32" s="103">
        <v>45310</v>
      </c>
      <c r="E32" s="103">
        <v>45373</v>
      </c>
      <c r="F32" s="58"/>
      <c r="G32" s="58"/>
      <c r="H32" s="58"/>
      <c r="I32" s="58"/>
      <c r="J32" s="58">
        <f t="shared" si="1"/>
        <v>63</v>
      </c>
      <c r="K32" s="58">
        <f t="shared" si="2"/>
        <v>0</v>
      </c>
      <c r="L32" s="58">
        <f t="shared" si="3"/>
        <v>0</v>
      </c>
      <c r="M32" s="58">
        <f t="shared" si="4"/>
        <v>63</v>
      </c>
      <c r="N32" s="58"/>
    </row>
    <row r="33" spans="1:14" x14ac:dyDescent="0.25">
      <c r="A33" s="91" t="s">
        <v>384</v>
      </c>
      <c r="B33" s="91" t="s">
        <v>43</v>
      </c>
      <c r="C33" s="126">
        <v>42948</v>
      </c>
      <c r="D33" s="103"/>
      <c r="E33" s="103"/>
      <c r="F33" s="58"/>
      <c r="G33" s="58"/>
      <c r="H33" s="58"/>
      <c r="I33" s="58"/>
      <c r="J33" s="58">
        <f t="shared" si="1"/>
        <v>0</v>
      </c>
      <c r="K33" s="58">
        <f t="shared" si="2"/>
        <v>0</v>
      </c>
      <c r="L33" s="58">
        <f t="shared" si="3"/>
        <v>0</v>
      </c>
      <c r="M33" s="58">
        <f t="shared" si="4"/>
        <v>0</v>
      </c>
      <c r="N33" s="58"/>
    </row>
    <row r="34" spans="1:14" x14ac:dyDescent="0.25">
      <c r="A34" s="91" t="s">
        <v>385</v>
      </c>
      <c r="B34" s="91" t="s">
        <v>520</v>
      </c>
      <c r="C34" s="126">
        <v>42948</v>
      </c>
      <c r="D34" s="103"/>
      <c r="E34" s="103"/>
      <c r="F34" s="58"/>
      <c r="G34" s="58"/>
      <c r="H34" s="58"/>
      <c r="I34" s="58"/>
      <c r="J34" s="58">
        <f t="shared" si="1"/>
        <v>0</v>
      </c>
      <c r="K34" s="58">
        <f t="shared" si="2"/>
        <v>0</v>
      </c>
      <c r="L34" s="58">
        <f t="shared" si="3"/>
        <v>0</v>
      </c>
      <c r="M34" s="58">
        <f t="shared" si="4"/>
        <v>0</v>
      </c>
      <c r="N34" s="58"/>
    </row>
    <row r="35" spans="1:14" x14ac:dyDescent="0.25">
      <c r="A35" s="91" t="s">
        <v>386</v>
      </c>
      <c r="B35" s="91" t="s">
        <v>244</v>
      </c>
      <c r="C35" s="126">
        <v>42979</v>
      </c>
      <c r="D35" s="103">
        <v>45396</v>
      </c>
      <c r="E35" s="103">
        <v>45436</v>
      </c>
      <c r="F35" s="58"/>
      <c r="G35" s="58"/>
      <c r="H35" s="58"/>
      <c r="I35" s="58"/>
      <c r="J35" s="58">
        <f t="shared" si="1"/>
        <v>40</v>
      </c>
      <c r="K35" s="58">
        <f t="shared" si="2"/>
        <v>0</v>
      </c>
      <c r="L35" s="58">
        <f t="shared" si="3"/>
        <v>0</v>
      </c>
      <c r="M35" s="58">
        <f t="shared" si="4"/>
        <v>40</v>
      </c>
      <c r="N35" s="58"/>
    </row>
    <row r="36" spans="1:14" x14ac:dyDescent="0.25">
      <c r="A36" s="91" t="s">
        <v>387</v>
      </c>
      <c r="B36" s="91" t="s">
        <v>521</v>
      </c>
      <c r="C36" s="126">
        <v>43101</v>
      </c>
      <c r="D36" s="103">
        <v>45566</v>
      </c>
      <c r="E36" s="103">
        <v>45600</v>
      </c>
      <c r="F36" s="58"/>
      <c r="G36" s="58"/>
      <c r="H36" s="58"/>
      <c r="I36" s="58"/>
      <c r="J36" s="58">
        <f t="shared" si="1"/>
        <v>34</v>
      </c>
      <c r="K36" s="58">
        <f t="shared" si="2"/>
        <v>0</v>
      </c>
      <c r="L36" s="58">
        <f t="shared" si="3"/>
        <v>0</v>
      </c>
      <c r="M36" s="58">
        <f t="shared" si="4"/>
        <v>34</v>
      </c>
      <c r="N36" s="58"/>
    </row>
    <row r="37" spans="1:14" x14ac:dyDescent="0.25">
      <c r="A37" s="91" t="s">
        <v>388</v>
      </c>
      <c r="B37" s="91" t="s">
        <v>522</v>
      </c>
      <c r="C37" s="126">
        <v>43101</v>
      </c>
      <c r="D37" s="103">
        <v>45507</v>
      </c>
      <c r="E37" s="103">
        <v>45557</v>
      </c>
      <c r="F37" s="103"/>
      <c r="G37" s="103"/>
      <c r="H37" s="58"/>
      <c r="I37" s="58"/>
      <c r="J37" s="58">
        <f t="shared" si="1"/>
        <v>50</v>
      </c>
      <c r="K37" s="58">
        <f t="shared" si="2"/>
        <v>0</v>
      </c>
      <c r="L37" s="58">
        <f t="shared" si="3"/>
        <v>0</v>
      </c>
      <c r="M37" s="58">
        <f t="shared" si="4"/>
        <v>50</v>
      </c>
      <c r="N37" s="58"/>
    </row>
    <row r="38" spans="1:14" x14ac:dyDescent="0.25">
      <c r="A38" s="91" t="s">
        <v>389</v>
      </c>
      <c r="B38" s="91" t="s">
        <v>523</v>
      </c>
      <c r="C38" s="126">
        <v>43132</v>
      </c>
      <c r="D38" s="103">
        <v>45562</v>
      </c>
      <c r="E38" s="103">
        <v>45624</v>
      </c>
      <c r="F38" s="58"/>
      <c r="G38" s="58"/>
      <c r="H38" s="58"/>
      <c r="I38" s="58"/>
      <c r="J38" s="58">
        <f t="shared" si="1"/>
        <v>62</v>
      </c>
      <c r="K38" s="58">
        <f t="shared" si="2"/>
        <v>0</v>
      </c>
      <c r="L38" s="58">
        <f t="shared" si="3"/>
        <v>0</v>
      </c>
      <c r="M38" s="58">
        <f t="shared" si="4"/>
        <v>62</v>
      </c>
      <c r="N38" s="58"/>
    </row>
    <row r="39" spans="1:14" x14ac:dyDescent="0.25">
      <c r="A39" s="91" t="s">
        <v>390</v>
      </c>
      <c r="B39" s="91" t="s">
        <v>524</v>
      </c>
      <c r="C39" s="126">
        <v>43191</v>
      </c>
      <c r="D39" s="103"/>
      <c r="E39" s="103"/>
      <c r="F39" s="58"/>
      <c r="G39" s="58"/>
      <c r="H39" s="58"/>
      <c r="I39" s="58"/>
      <c r="J39" s="58">
        <f t="shared" si="1"/>
        <v>0</v>
      </c>
      <c r="K39" s="58">
        <f t="shared" si="2"/>
        <v>0</v>
      </c>
      <c r="L39" s="58">
        <f t="shared" si="3"/>
        <v>0</v>
      </c>
      <c r="M39" s="58">
        <f t="shared" si="4"/>
        <v>0</v>
      </c>
      <c r="N39" s="58"/>
    </row>
    <row r="40" spans="1:14" x14ac:dyDescent="0.25">
      <c r="A40" s="91" t="s">
        <v>391</v>
      </c>
      <c r="B40" s="91" t="s">
        <v>525</v>
      </c>
      <c r="C40" s="126">
        <v>43282</v>
      </c>
      <c r="D40" s="103"/>
      <c r="E40" s="103"/>
      <c r="F40" s="58"/>
      <c r="G40" s="58"/>
      <c r="H40" s="58"/>
      <c r="I40" s="58"/>
      <c r="J40" s="58">
        <f t="shared" si="1"/>
        <v>0</v>
      </c>
      <c r="K40" s="58">
        <f t="shared" si="2"/>
        <v>0</v>
      </c>
      <c r="L40" s="58">
        <f t="shared" si="3"/>
        <v>0</v>
      </c>
      <c r="M40" s="58">
        <f t="shared" si="4"/>
        <v>0</v>
      </c>
      <c r="N40" s="58"/>
    </row>
    <row r="41" spans="1:14" x14ac:dyDescent="0.25">
      <c r="A41" s="91" t="s">
        <v>392</v>
      </c>
      <c r="B41" s="91" t="s">
        <v>526</v>
      </c>
      <c r="C41" s="126">
        <v>43282</v>
      </c>
      <c r="D41" s="103">
        <v>45292</v>
      </c>
      <c r="E41" s="103">
        <v>45323</v>
      </c>
      <c r="F41" s="58"/>
      <c r="G41" s="58"/>
      <c r="H41" s="58"/>
      <c r="I41" s="58"/>
      <c r="J41" s="58">
        <f t="shared" si="1"/>
        <v>31</v>
      </c>
      <c r="K41" s="58">
        <f t="shared" si="2"/>
        <v>0</v>
      </c>
      <c r="L41" s="58">
        <f t="shared" si="3"/>
        <v>0</v>
      </c>
      <c r="M41" s="58">
        <f t="shared" si="4"/>
        <v>31</v>
      </c>
      <c r="N41" s="58"/>
    </row>
    <row r="42" spans="1:14" x14ac:dyDescent="0.25">
      <c r="A42" s="91" t="s">
        <v>393</v>
      </c>
      <c r="B42" s="91" t="s">
        <v>527</v>
      </c>
      <c r="C42" s="126">
        <v>43466</v>
      </c>
      <c r="D42" s="103">
        <v>45446</v>
      </c>
      <c r="E42" s="103">
        <v>45507</v>
      </c>
      <c r="F42" s="58"/>
      <c r="G42" s="58"/>
      <c r="H42" s="58"/>
      <c r="I42" s="58"/>
      <c r="J42" s="58">
        <f t="shared" si="1"/>
        <v>61</v>
      </c>
      <c r="K42" s="58">
        <f t="shared" si="2"/>
        <v>0</v>
      </c>
      <c r="L42" s="58">
        <f t="shared" si="3"/>
        <v>0</v>
      </c>
      <c r="M42" s="58">
        <f t="shared" si="4"/>
        <v>61</v>
      </c>
      <c r="N42" s="58"/>
    </row>
    <row r="43" spans="1:14" x14ac:dyDescent="0.25">
      <c r="A43" s="91" t="s">
        <v>394</v>
      </c>
      <c r="B43" s="91" t="s">
        <v>528</v>
      </c>
      <c r="C43" s="126">
        <v>43497</v>
      </c>
      <c r="D43" s="103"/>
      <c r="E43" s="103"/>
      <c r="F43" s="58"/>
      <c r="G43" s="58"/>
      <c r="H43" s="58"/>
      <c r="I43" s="58"/>
      <c r="J43" s="58">
        <f t="shared" si="1"/>
        <v>0</v>
      </c>
      <c r="K43" s="58">
        <f t="shared" si="2"/>
        <v>0</v>
      </c>
      <c r="L43" s="58">
        <f t="shared" si="3"/>
        <v>0</v>
      </c>
      <c r="M43" s="58">
        <f t="shared" si="4"/>
        <v>0</v>
      </c>
      <c r="N43" s="58"/>
    </row>
    <row r="44" spans="1:14" x14ac:dyDescent="0.25">
      <c r="A44" s="91" t="s">
        <v>395</v>
      </c>
      <c r="B44" s="91" t="s">
        <v>529</v>
      </c>
      <c r="C44" s="126">
        <v>43556</v>
      </c>
      <c r="D44" s="103"/>
      <c r="E44" s="103"/>
      <c r="F44" s="58"/>
      <c r="G44" s="58"/>
      <c r="H44" s="58"/>
      <c r="I44" s="58"/>
      <c r="J44" s="58">
        <f t="shared" si="1"/>
        <v>0</v>
      </c>
      <c r="K44" s="58">
        <f t="shared" si="2"/>
        <v>0</v>
      </c>
      <c r="L44" s="58">
        <f t="shared" si="3"/>
        <v>0</v>
      </c>
      <c r="M44" s="58">
        <f t="shared" si="4"/>
        <v>0</v>
      </c>
      <c r="N44" s="58"/>
    </row>
    <row r="45" spans="1:14" x14ac:dyDescent="0.25">
      <c r="A45" s="91" t="s">
        <v>396</v>
      </c>
      <c r="B45" s="91" t="s">
        <v>530</v>
      </c>
      <c r="C45" s="126">
        <v>43647</v>
      </c>
      <c r="D45" s="103">
        <v>45384</v>
      </c>
      <c r="E45" s="103">
        <v>45447</v>
      </c>
      <c r="F45" s="58"/>
      <c r="G45" s="58"/>
      <c r="H45" s="58"/>
      <c r="I45" s="58"/>
      <c r="J45" s="58">
        <f>E45-D45</f>
        <v>63</v>
      </c>
      <c r="K45" s="58">
        <f t="shared" si="2"/>
        <v>0</v>
      </c>
      <c r="L45" s="58">
        <f t="shared" si="3"/>
        <v>0</v>
      </c>
      <c r="M45" s="58">
        <f t="shared" si="4"/>
        <v>63</v>
      </c>
      <c r="N45" s="58"/>
    </row>
    <row r="46" spans="1:14" x14ac:dyDescent="0.25">
      <c r="A46" s="91" t="s">
        <v>397</v>
      </c>
      <c r="B46" s="91" t="s">
        <v>531</v>
      </c>
      <c r="C46" s="126">
        <v>43647</v>
      </c>
      <c r="D46" s="103">
        <v>45301</v>
      </c>
      <c r="E46" s="103">
        <v>45346</v>
      </c>
      <c r="F46" s="58"/>
      <c r="G46" s="58"/>
      <c r="H46" s="58"/>
      <c r="I46" s="58"/>
      <c r="J46" s="58">
        <f t="shared" si="1"/>
        <v>45</v>
      </c>
      <c r="K46" s="58">
        <f t="shared" si="2"/>
        <v>0</v>
      </c>
      <c r="L46" s="58">
        <f t="shared" si="3"/>
        <v>0</v>
      </c>
      <c r="M46" s="58">
        <f t="shared" si="4"/>
        <v>45</v>
      </c>
      <c r="N46" s="58"/>
    </row>
    <row r="47" spans="1:14" x14ac:dyDescent="0.25">
      <c r="A47" s="91" t="s">
        <v>398</v>
      </c>
      <c r="B47" s="91" t="s">
        <v>532</v>
      </c>
      <c r="C47" s="126">
        <v>43647</v>
      </c>
      <c r="D47" s="103"/>
      <c r="E47" s="103"/>
      <c r="F47" s="58"/>
      <c r="G47" s="58"/>
      <c r="H47" s="58"/>
      <c r="I47" s="58"/>
      <c r="J47" s="58">
        <f t="shared" si="1"/>
        <v>0</v>
      </c>
      <c r="K47" s="58">
        <f t="shared" si="2"/>
        <v>0</v>
      </c>
      <c r="L47" s="58">
        <f t="shared" si="3"/>
        <v>0</v>
      </c>
      <c r="M47" s="58">
        <f t="shared" si="4"/>
        <v>0</v>
      </c>
      <c r="N47" s="58"/>
    </row>
    <row r="48" spans="1:14" x14ac:dyDescent="0.25">
      <c r="A48" s="91" t="s">
        <v>399</v>
      </c>
      <c r="B48" s="91" t="s">
        <v>533</v>
      </c>
      <c r="C48" s="126">
        <v>43617</v>
      </c>
      <c r="D48" s="103">
        <v>45351</v>
      </c>
      <c r="E48" s="103">
        <v>45390</v>
      </c>
      <c r="F48" s="58"/>
      <c r="G48" s="58"/>
      <c r="H48" s="58"/>
      <c r="I48" s="58"/>
      <c r="J48" s="58">
        <f t="shared" si="1"/>
        <v>39</v>
      </c>
      <c r="K48" s="58">
        <f t="shared" si="2"/>
        <v>0</v>
      </c>
      <c r="L48" s="58">
        <f t="shared" si="3"/>
        <v>0</v>
      </c>
      <c r="M48" s="58">
        <f t="shared" si="4"/>
        <v>39</v>
      </c>
      <c r="N48" s="58"/>
    </row>
    <row r="49" spans="1:14" x14ac:dyDescent="0.25">
      <c r="A49" s="91" t="s">
        <v>400</v>
      </c>
      <c r="B49" s="91" t="s">
        <v>534</v>
      </c>
      <c r="C49" s="126">
        <v>43739</v>
      </c>
      <c r="D49" s="103"/>
      <c r="E49" s="103"/>
      <c r="F49" s="58"/>
      <c r="G49" s="58"/>
      <c r="H49" s="58"/>
      <c r="I49" s="58"/>
      <c r="J49" s="58">
        <f t="shared" si="1"/>
        <v>0</v>
      </c>
      <c r="K49" s="58">
        <f t="shared" si="2"/>
        <v>0</v>
      </c>
      <c r="L49" s="58">
        <f t="shared" si="3"/>
        <v>0</v>
      </c>
      <c r="M49" s="58">
        <f t="shared" si="4"/>
        <v>0</v>
      </c>
      <c r="N49" s="58"/>
    </row>
    <row r="50" spans="1:14" x14ac:dyDescent="0.25">
      <c r="A50" s="91" t="s">
        <v>401</v>
      </c>
      <c r="B50" s="91" t="s">
        <v>278</v>
      </c>
      <c r="C50" s="126">
        <v>43800</v>
      </c>
      <c r="D50" s="103">
        <v>45657</v>
      </c>
      <c r="E50" s="103">
        <v>45658</v>
      </c>
      <c r="F50" s="58"/>
      <c r="G50" s="58"/>
      <c r="H50" s="58"/>
      <c r="I50" s="58"/>
      <c r="J50" s="58">
        <f t="shared" si="1"/>
        <v>1</v>
      </c>
      <c r="K50" s="58">
        <f t="shared" si="2"/>
        <v>0</v>
      </c>
      <c r="L50" s="58">
        <f t="shared" si="3"/>
        <v>0</v>
      </c>
      <c r="M50" s="58">
        <f t="shared" si="4"/>
        <v>1</v>
      </c>
      <c r="N50" s="58"/>
    </row>
    <row r="51" spans="1:14" x14ac:dyDescent="0.25">
      <c r="A51" s="91" t="s">
        <v>402</v>
      </c>
      <c r="B51" s="91" t="s">
        <v>536</v>
      </c>
      <c r="C51" s="126">
        <v>44075</v>
      </c>
      <c r="D51" s="103"/>
      <c r="E51" s="103"/>
      <c r="F51" s="58"/>
      <c r="G51" s="58"/>
      <c r="H51" s="58"/>
      <c r="I51" s="58"/>
      <c r="J51" s="58">
        <f t="shared" si="1"/>
        <v>0</v>
      </c>
      <c r="K51" s="58">
        <f t="shared" si="2"/>
        <v>0</v>
      </c>
      <c r="L51" s="58">
        <f t="shared" si="3"/>
        <v>0</v>
      </c>
      <c r="M51" s="58">
        <f t="shared" si="4"/>
        <v>0</v>
      </c>
      <c r="N51" s="58"/>
    </row>
    <row r="52" spans="1:14" x14ac:dyDescent="0.25">
      <c r="A52" s="91" t="s">
        <v>403</v>
      </c>
      <c r="B52" s="91" t="s">
        <v>537</v>
      </c>
      <c r="C52" s="126">
        <v>44105</v>
      </c>
      <c r="D52" s="103">
        <v>45436</v>
      </c>
      <c r="E52" s="103">
        <v>45474</v>
      </c>
      <c r="F52" s="58"/>
      <c r="G52" s="58"/>
      <c r="H52" s="58"/>
      <c r="I52" s="58"/>
      <c r="J52" s="58">
        <f t="shared" si="1"/>
        <v>38</v>
      </c>
      <c r="K52" s="58">
        <f t="shared" si="2"/>
        <v>0</v>
      </c>
      <c r="L52" s="58">
        <f t="shared" si="3"/>
        <v>0</v>
      </c>
      <c r="M52" s="58">
        <f t="shared" si="4"/>
        <v>38</v>
      </c>
      <c r="N52" s="58"/>
    </row>
    <row r="53" spans="1:14" x14ac:dyDescent="0.25">
      <c r="A53" s="91" t="s">
        <v>404</v>
      </c>
      <c r="B53" s="91" t="s">
        <v>292</v>
      </c>
      <c r="C53" s="126">
        <v>44136</v>
      </c>
      <c r="D53" s="103"/>
      <c r="E53" s="103"/>
      <c r="F53" s="58"/>
      <c r="G53" s="58"/>
      <c r="H53" s="58"/>
      <c r="I53" s="58"/>
      <c r="J53" s="58">
        <f t="shared" si="1"/>
        <v>0</v>
      </c>
      <c r="K53" s="58">
        <f t="shared" si="2"/>
        <v>0</v>
      </c>
      <c r="L53" s="58">
        <f t="shared" si="3"/>
        <v>0</v>
      </c>
      <c r="M53" s="58">
        <f t="shared" si="4"/>
        <v>0</v>
      </c>
      <c r="N53" s="58"/>
    </row>
    <row r="54" spans="1:14" x14ac:dyDescent="0.25">
      <c r="A54" s="91" t="s">
        <v>405</v>
      </c>
      <c r="B54" s="91" t="s">
        <v>538</v>
      </c>
      <c r="C54" s="126">
        <v>44136</v>
      </c>
      <c r="D54" s="103">
        <v>45410</v>
      </c>
      <c r="E54" s="103">
        <v>45417</v>
      </c>
      <c r="F54" s="58"/>
      <c r="G54" s="58"/>
      <c r="H54" s="58"/>
      <c r="I54" s="58"/>
      <c r="J54" s="58">
        <f t="shared" si="1"/>
        <v>7</v>
      </c>
      <c r="K54" s="58">
        <f t="shared" si="2"/>
        <v>0</v>
      </c>
      <c r="L54" s="58">
        <f t="shared" si="3"/>
        <v>0</v>
      </c>
      <c r="M54" s="58">
        <f t="shared" si="4"/>
        <v>7</v>
      </c>
      <c r="N54" s="58"/>
    </row>
    <row r="55" spans="1:14" x14ac:dyDescent="0.25">
      <c r="A55" s="91" t="s">
        <v>406</v>
      </c>
      <c r="B55" s="91" t="s">
        <v>539</v>
      </c>
      <c r="C55" s="126">
        <v>44197</v>
      </c>
      <c r="D55" s="103"/>
      <c r="E55" s="103"/>
      <c r="F55" s="103"/>
      <c r="G55" s="103"/>
      <c r="H55" s="58"/>
      <c r="I55" s="58"/>
      <c r="J55" s="58">
        <f t="shared" si="1"/>
        <v>0</v>
      </c>
      <c r="K55" s="58">
        <f t="shared" si="2"/>
        <v>0</v>
      </c>
      <c r="L55" s="58">
        <f t="shared" si="3"/>
        <v>0</v>
      </c>
      <c r="M55" s="58">
        <f t="shared" si="4"/>
        <v>0</v>
      </c>
      <c r="N55" s="58"/>
    </row>
    <row r="56" spans="1:14" x14ac:dyDescent="0.25">
      <c r="A56" s="91" t="s">
        <v>407</v>
      </c>
      <c r="B56" s="91" t="s">
        <v>540</v>
      </c>
      <c r="C56" s="126">
        <v>44197</v>
      </c>
      <c r="D56" s="103">
        <v>45376</v>
      </c>
      <c r="E56" s="103">
        <v>45431</v>
      </c>
      <c r="F56" s="58"/>
      <c r="G56" s="58"/>
      <c r="H56" s="58"/>
      <c r="I56" s="58"/>
      <c r="J56" s="58">
        <f t="shared" si="1"/>
        <v>55</v>
      </c>
      <c r="K56" s="58">
        <f t="shared" si="2"/>
        <v>0</v>
      </c>
      <c r="L56" s="58">
        <f t="shared" si="3"/>
        <v>0</v>
      </c>
      <c r="M56" s="58">
        <f t="shared" si="4"/>
        <v>55</v>
      </c>
      <c r="N56" s="58"/>
    </row>
    <row r="57" spans="1:14" x14ac:dyDescent="0.25">
      <c r="A57" s="91" t="s">
        <v>408</v>
      </c>
      <c r="B57" s="91" t="s">
        <v>541</v>
      </c>
      <c r="C57" s="126">
        <v>44197</v>
      </c>
      <c r="D57" s="103">
        <v>45292</v>
      </c>
      <c r="E57" s="103">
        <v>45327</v>
      </c>
      <c r="F57" s="58"/>
      <c r="G57" s="58"/>
      <c r="H57" s="58"/>
      <c r="I57" s="58"/>
      <c r="J57" s="58">
        <f t="shared" si="1"/>
        <v>35</v>
      </c>
      <c r="K57" s="58">
        <f t="shared" si="2"/>
        <v>0</v>
      </c>
      <c r="L57" s="58">
        <f t="shared" si="3"/>
        <v>0</v>
      </c>
      <c r="M57" s="58">
        <f t="shared" si="4"/>
        <v>35</v>
      </c>
      <c r="N57" s="58"/>
    </row>
    <row r="58" spans="1:14" x14ac:dyDescent="0.25">
      <c r="A58" s="91" t="s">
        <v>409</v>
      </c>
      <c r="B58" s="91" t="s">
        <v>542</v>
      </c>
      <c r="C58" s="126">
        <v>44256</v>
      </c>
      <c r="D58" s="103"/>
      <c r="E58" s="103"/>
      <c r="F58" s="58"/>
      <c r="G58" s="58"/>
      <c r="H58" s="58"/>
      <c r="I58" s="58"/>
      <c r="J58" s="58">
        <f t="shared" si="1"/>
        <v>0</v>
      </c>
      <c r="K58" s="58">
        <f t="shared" si="2"/>
        <v>0</v>
      </c>
      <c r="L58" s="58">
        <f t="shared" si="3"/>
        <v>0</v>
      </c>
      <c r="M58" s="58">
        <f t="shared" si="4"/>
        <v>0</v>
      </c>
      <c r="N58" s="58"/>
    </row>
    <row r="59" spans="1:14" x14ac:dyDescent="0.25">
      <c r="A59" s="91" t="s">
        <v>410</v>
      </c>
      <c r="B59" s="91" t="s">
        <v>543</v>
      </c>
      <c r="C59" s="126">
        <v>44256</v>
      </c>
      <c r="D59" s="58"/>
      <c r="E59" s="58"/>
      <c r="F59" s="58"/>
      <c r="G59" s="58"/>
      <c r="H59" s="58"/>
      <c r="I59" s="58"/>
      <c r="J59" s="58">
        <f t="shared" si="1"/>
        <v>0</v>
      </c>
      <c r="K59" s="58">
        <f t="shared" si="2"/>
        <v>0</v>
      </c>
      <c r="L59" s="58">
        <f t="shared" si="3"/>
        <v>0</v>
      </c>
      <c r="M59" s="58">
        <f t="shared" si="4"/>
        <v>0</v>
      </c>
      <c r="N59" s="58"/>
    </row>
    <row r="60" spans="1:14" x14ac:dyDescent="0.25">
      <c r="A60" s="91" t="s">
        <v>411</v>
      </c>
      <c r="B60" s="91" t="s">
        <v>544</v>
      </c>
      <c r="C60" s="126">
        <v>44256</v>
      </c>
      <c r="D60" s="58"/>
      <c r="E60" s="58"/>
      <c r="F60" s="58"/>
      <c r="G60" s="58"/>
      <c r="H60" s="58"/>
      <c r="I60" s="58"/>
      <c r="J60" s="58">
        <f t="shared" si="1"/>
        <v>0</v>
      </c>
      <c r="K60" s="58">
        <f t="shared" si="2"/>
        <v>0</v>
      </c>
      <c r="L60" s="58">
        <f t="shared" si="3"/>
        <v>0</v>
      </c>
      <c r="M60" s="58">
        <f t="shared" si="4"/>
        <v>0</v>
      </c>
      <c r="N60" s="58"/>
    </row>
    <row r="61" spans="1:14" x14ac:dyDescent="0.25">
      <c r="A61" s="91" t="s">
        <v>412</v>
      </c>
      <c r="B61" s="91" t="s">
        <v>305</v>
      </c>
      <c r="C61" s="126">
        <v>44287</v>
      </c>
      <c r="D61" s="103">
        <v>45439</v>
      </c>
      <c r="E61" s="103">
        <v>45479</v>
      </c>
      <c r="F61" s="58"/>
      <c r="G61" s="58"/>
      <c r="H61" s="58"/>
      <c r="I61" s="58"/>
      <c r="J61" s="58">
        <f t="shared" si="1"/>
        <v>40</v>
      </c>
      <c r="K61" s="58">
        <f t="shared" si="2"/>
        <v>0</v>
      </c>
      <c r="L61" s="58">
        <f t="shared" si="3"/>
        <v>0</v>
      </c>
      <c r="M61" s="58">
        <f t="shared" si="4"/>
        <v>40</v>
      </c>
      <c r="N61" s="58"/>
    </row>
    <row r="62" spans="1:14" x14ac:dyDescent="0.25">
      <c r="A62" s="91" t="s">
        <v>413</v>
      </c>
      <c r="B62" s="91" t="s">
        <v>545</v>
      </c>
      <c r="C62" s="126">
        <v>44287</v>
      </c>
      <c r="D62" s="58"/>
      <c r="E62" s="58"/>
      <c r="F62" s="58"/>
      <c r="G62" s="58"/>
      <c r="H62" s="58"/>
      <c r="I62" s="58"/>
      <c r="J62" s="58">
        <f t="shared" si="1"/>
        <v>0</v>
      </c>
      <c r="K62" s="58">
        <f t="shared" si="2"/>
        <v>0</v>
      </c>
      <c r="L62" s="58">
        <f t="shared" si="3"/>
        <v>0</v>
      </c>
      <c r="M62" s="58">
        <f t="shared" si="4"/>
        <v>0</v>
      </c>
      <c r="N62" s="58"/>
    </row>
    <row r="63" spans="1:14" x14ac:dyDescent="0.25">
      <c r="A63" s="91" t="s">
        <v>414</v>
      </c>
      <c r="B63" s="91" t="s">
        <v>308</v>
      </c>
      <c r="C63" s="126">
        <v>44378</v>
      </c>
      <c r="D63" s="103">
        <v>45306</v>
      </c>
      <c r="E63" s="103">
        <v>45345</v>
      </c>
      <c r="F63" s="58"/>
      <c r="G63" s="58"/>
      <c r="H63" s="58"/>
      <c r="I63" s="58"/>
      <c r="J63" s="58">
        <f t="shared" si="1"/>
        <v>39</v>
      </c>
      <c r="K63" s="58">
        <f t="shared" si="2"/>
        <v>0</v>
      </c>
      <c r="L63" s="58">
        <f t="shared" si="3"/>
        <v>0</v>
      </c>
      <c r="M63" s="58">
        <f t="shared" si="4"/>
        <v>39</v>
      </c>
      <c r="N63" s="58"/>
    </row>
    <row r="64" spans="1:14" x14ac:dyDescent="0.25">
      <c r="A64" s="91" t="s">
        <v>415</v>
      </c>
      <c r="B64" s="91" t="s">
        <v>546</v>
      </c>
      <c r="C64" s="126">
        <v>44378</v>
      </c>
      <c r="D64" s="103">
        <v>45448</v>
      </c>
      <c r="E64" s="103">
        <v>45509</v>
      </c>
      <c r="F64" s="58"/>
      <c r="G64" s="58"/>
      <c r="H64" s="58"/>
      <c r="I64" s="58"/>
      <c r="J64" s="58">
        <f t="shared" si="1"/>
        <v>61</v>
      </c>
      <c r="K64" s="58">
        <f t="shared" si="2"/>
        <v>0</v>
      </c>
      <c r="L64" s="58">
        <f t="shared" si="3"/>
        <v>0</v>
      </c>
      <c r="M64" s="58">
        <f t="shared" si="4"/>
        <v>61</v>
      </c>
      <c r="N64" s="58"/>
    </row>
    <row r="65" spans="1:14" x14ac:dyDescent="0.25">
      <c r="A65" s="91" t="s">
        <v>416</v>
      </c>
      <c r="B65" s="91" t="s">
        <v>547</v>
      </c>
      <c r="C65" s="126">
        <v>44409</v>
      </c>
      <c r="D65" s="103">
        <v>45294</v>
      </c>
      <c r="E65" s="103">
        <v>45407</v>
      </c>
      <c r="F65" s="103">
        <v>45612</v>
      </c>
      <c r="G65" s="103">
        <v>45630</v>
      </c>
      <c r="H65" s="58"/>
      <c r="I65" s="58"/>
      <c r="J65" s="58">
        <f t="shared" si="1"/>
        <v>113</v>
      </c>
      <c r="K65" s="58">
        <f t="shared" si="2"/>
        <v>18</v>
      </c>
      <c r="L65" s="58">
        <f t="shared" si="3"/>
        <v>0</v>
      </c>
      <c r="M65" s="58">
        <f t="shared" si="4"/>
        <v>131</v>
      </c>
      <c r="N65" s="58"/>
    </row>
    <row r="66" spans="1:14" x14ac:dyDescent="0.25">
      <c r="A66" s="91" t="s">
        <v>417</v>
      </c>
      <c r="B66" s="91" t="s">
        <v>548</v>
      </c>
      <c r="C66" s="126">
        <v>44378</v>
      </c>
      <c r="D66" s="103">
        <v>45292</v>
      </c>
      <c r="E66" s="103">
        <v>45340</v>
      </c>
      <c r="F66" s="58"/>
      <c r="G66" s="58"/>
      <c r="H66" s="58"/>
      <c r="I66" s="58"/>
      <c r="J66" s="58">
        <f t="shared" si="1"/>
        <v>48</v>
      </c>
      <c r="K66" s="58">
        <f t="shared" si="2"/>
        <v>0</v>
      </c>
      <c r="L66" s="58">
        <f t="shared" si="3"/>
        <v>0</v>
      </c>
      <c r="M66" s="58">
        <f t="shared" si="4"/>
        <v>48</v>
      </c>
      <c r="N66" s="58"/>
    </row>
    <row r="67" spans="1:14" x14ac:dyDescent="0.25">
      <c r="A67" s="91" t="s">
        <v>418</v>
      </c>
      <c r="B67" s="91" t="s">
        <v>549</v>
      </c>
      <c r="C67" s="126">
        <v>44470</v>
      </c>
      <c r="D67" s="58"/>
      <c r="E67" s="58"/>
      <c r="F67" s="58"/>
      <c r="G67" s="58"/>
      <c r="H67" s="58"/>
      <c r="I67" s="58"/>
      <c r="J67" s="58">
        <f t="shared" ref="J67:J128" si="5">E67-D67</f>
        <v>0</v>
      </c>
      <c r="K67" s="58">
        <f t="shared" ref="K67:K128" si="6">G67-F67</f>
        <v>0</v>
      </c>
      <c r="L67" s="58">
        <f t="shared" ref="L67:L128" si="7">I67-H67</f>
        <v>0</v>
      </c>
      <c r="M67" s="58">
        <f t="shared" ref="M67:M128" si="8">J67+K67+L67</f>
        <v>0</v>
      </c>
      <c r="N67" s="58"/>
    </row>
    <row r="68" spans="1:14" x14ac:dyDescent="0.25">
      <c r="A68" s="91" t="s">
        <v>419</v>
      </c>
      <c r="B68" s="91" t="s">
        <v>550</v>
      </c>
      <c r="C68" s="126">
        <v>44470</v>
      </c>
      <c r="D68" s="103">
        <v>45439</v>
      </c>
      <c r="E68" s="103">
        <v>45500</v>
      </c>
      <c r="F68" s="58"/>
      <c r="G68" s="58"/>
      <c r="H68" s="58"/>
      <c r="I68" s="58"/>
      <c r="J68" s="58">
        <f t="shared" si="5"/>
        <v>61</v>
      </c>
      <c r="K68" s="58">
        <f t="shared" si="6"/>
        <v>0</v>
      </c>
      <c r="L68" s="58">
        <f t="shared" si="7"/>
        <v>0</v>
      </c>
      <c r="M68" s="58">
        <f t="shared" si="8"/>
        <v>61</v>
      </c>
      <c r="N68" s="58"/>
    </row>
    <row r="69" spans="1:14" x14ac:dyDescent="0.25">
      <c r="A69" s="91" t="s">
        <v>420</v>
      </c>
      <c r="B69" s="91" t="s">
        <v>551</v>
      </c>
      <c r="C69" s="126">
        <v>44470</v>
      </c>
      <c r="D69" s="58"/>
      <c r="E69" s="58"/>
      <c r="F69" s="58"/>
      <c r="G69" s="58"/>
      <c r="H69" s="58"/>
      <c r="I69" s="58"/>
      <c r="J69" s="58">
        <f t="shared" si="5"/>
        <v>0</v>
      </c>
      <c r="K69" s="58">
        <f t="shared" si="6"/>
        <v>0</v>
      </c>
      <c r="L69" s="58">
        <f t="shared" si="7"/>
        <v>0</v>
      </c>
      <c r="M69" s="58">
        <f t="shared" si="8"/>
        <v>0</v>
      </c>
      <c r="N69" s="58"/>
    </row>
    <row r="70" spans="1:14" x14ac:dyDescent="0.25">
      <c r="A70" s="91" t="s">
        <v>421</v>
      </c>
      <c r="B70" s="91" t="s">
        <v>552</v>
      </c>
      <c r="C70" s="126">
        <v>44470</v>
      </c>
      <c r="D70" s="103">
        <v>45328</v>
      </c>
      <c r="E70" s="103">
        <v>45359</v>
      </c>
      <c r="F70" s="58"/>
      <c r="G70" s="58"/>
      <c r="H70" s="58"/>
      <c r="I70" s="58"/>
      <c r="J70" s="58">
        <f t="shared" si="5"/>
        <v>31</v>
      </c>
      <c r="K70" s="58">
        <f t="shared" si="6"/>
        <v>0</v>
      </c>
      <c r="L70" s="58">
        <f t="shared" si="7"/>
        <v>0</v>
      </c>
      <c r="M70" s="58">
        <f t="shared" si="8"/>
        <v>31</v>
      </c>
      <c r="N70" s="58"/>
    </row>
    <row r="71" spans="1:14" x14ac:dyDescent="0.25">
      <c r="A71" s="91" t="s">
        <v>422</v>
      </c>
      <c r="B71" s="91" t="s">
        <v>553</v>
      </c>
      <c r="C71" s="126">
        <v>44470</v>
      </c>
      <c r="D71" s="103">
        <v>45397</v>
      </c>
      <c r="E71" s="103">
        <v>45474</v>
      </c>
      <c r="F71" s="58"/>
      <c r="G71" s="58"/>
      <c r="H71" s="58"/>
      <c r="I71" s="58"/>
      <c r="J71" s="58">
        <f t="shared" si="5"/>
        <v>77</v>
      </c>
      <c r="K71" s="58">
        <f t="shared" si="6"/>
        <v>0</v>
      </c>
      <c r="L71" s="58">
        <f t="shared" si="7"/>
        <v>0</v>
      </c>
      <c r="M71" s="58">
        <f t="shared" si="8"/>
        <v>77</v>
      </c>
      <c r="N71" s="58"/>
    </row>
    <row r="72" spans="1:14" x14ac:dyDescent="0.25">
      <c r="A72" s="91" t="s">
        <v>423</v>
      </c>
      <c r="B72" s="91" t="s">
        <v>554</v>
      </c>
      <c r="C72" s="126">
        <v>44562</v>
      </c>
      <c r="D72" s="58"/>
      <c r="E72" s="58"/>
      <c r="F72" s="58"/>
      <c r="G72" s="58"/>
      <c r="H72" s="58"/>
      <c r="I72" s="58"/>
      <c r="J72" s="58">
        <f t="shared" si="5"/>
        <v>0</v>
      </c>
      <c r="K72" s="58">
        <f t="shared" si="6"/>
        <v>0</v>
      </c>
      <c r="L72" s="58">
        <f t="shared" si="7"/>
        <v>0</v>
      </c>
      <c r="M72" s="58">
        <f t="shared" si="8"/>
        <v>0</v>
      </c>
      <c r="N72" s="58"/>
    </row>
    <row r="73" spans="1:14" x14ac:dyDescent="0.25">
      <c r="A73" s="91" t="s">
        <v>424</v>
      </c>
      <c r="B73" s="91" t="s">
        <v>555</v>
      </c>
      <c r="C73" s="126">
        <v>44562</v>
      </c>
      <c r="D73" s="103">
        <v>45438</v>
      </c>
      <c r="E73" s="103">
        <v>45504</v>
      </c>
      <c r="F73" s="58"/>
      <c r="G73" s="58"/>
      <c r="H73" s="58"/>
      <c r="I73" s="58"/>
      <c r="J73" s="58">
        <f t="shared" si="5"/>
        <v>66</v>
      </c>
      <c r="K73" s="58">
        <f t="shared" si="6"/>
        <v>0</v>
      </c>
      <c r="L73" s="58">
        <f t="shared" si="7"/>
        <v>0</v>
      </c>
      <c r="M73" s="58">
        <f t="shared" si="8"/>
        <v>66</v>
      </c>
      <c r="N73" s="58"/>
    </row>
    <row r="74" spans="1:14" x14ac:dyDescent="0.25">
      <c r="A74" s="91" t="s">
        <v>426</v>
      </c>
      <c r="B74" s="91" t="s">
        <v>557</v>
      </c>
      <c r="C74" s="126">
        <v>44652</v>
      </c>
      <c r="D74" s="103">
        <v>45484</v>
      </c>
      <c r="E74" s="103">
        <v>45577</v>
      </c>
      <c r="F74" s="58"/>
      <c r="G74" s="58"/>
      <c r="H74" s="58"/>
      <c r="I74" s="58"/>
      <c r="J74" s="58">
        <f t="shared" si="5"/>
        <v>93</v>
      </c>
      <c r="K74" s="58">
        <f t="shared" si="6"/>
        <v>0</v>
      </c>
      <c r="L74" s="58">
        <f t="shared" si="7"/>
        <v>0</v>
      </c>
      <c r="M74" s="58">
        <f t="shared" si="8"/>
        <v>93</v>
      </c>
      <c r="N74" s="58"/>
    </row>
    <row r="75" spans="1:14" x14ac:dyDescent="0.25">
      <c r="A75" s="91" t="s">
        <v>427</v>
      </c>
      <c r="B75" s="91" t="s">
        <v>558</v>
      </c>
      <c r="C75" s="126">
        <v>44682</v>
      </c>
      <c r="D75" s="103"/>
      <c r="E75" s="103"/>
      <c r="F75" s="58"/>
      <c r="G75" s="58"/>
      <c r="H75" s="58"/>
      <c r="I75" s="58"/>
      <c r="J75" s="58">
        <f t="shared" si="5"/>
        <v>0</v>
      </c>
      <c r="K75" s="58">
        <f t="shared" si="6"/>
        <v>0</v>
      </c>
      <c r="L75" s="58">
        <f t="shared" si="7"/>
        <v>0</v>
      </c>
      <c r="M75" s="58">
        <f t="shared" si="8"/>
        <v>0</v>
      </c>
      <c r="N75" s="58"/>
    </row>
    <row r="76" spans="1:14" x14ac:dyDescent="0.25">
      <c r="A76" s="91" t="s">
        <v>428</v>
      </c>
      <c r="B76" s="91" t="s">
        <v>559</v>
      </c>
      <c r="C76" s="126">
        <v>44682</v>
      </c>
      <c r="D76" s="103">
        <v>45471</v>
      </c>
      <c r="E76" s="103">
        <v>45518</v>
      </c>
      <c r="F76" s="58"/>
      <c r="G76" s="58"/>
      <c r="H76" s="58"/>
      <c r="I76" s="58"/>
      <c r="J76" s="58">
        <f t="shared" si="5"/>
        <v>47</v>
      </c>
      <c r="K76" s="58">
        <f t="shared" si="6"/>
        <v>0</v>
      </c>
      <c r="L76" s="58">
        <f t="shared" si="7"/>
        <v>0</v>
      </c>
      <c r="M76" s="58">
        <f t="shared" si="8"/>
        <v>47</v>
      </c>
      <c r="N76" s="58"/>
    </row>
    <row r="77" spans="1:14" x14ac:dyDescent="0.25">
      <c r="A77" s="91" t="s">
        <v>429</v>
      </c>
      <c r="B77" s="91" t="s">
        <v>560</v>
      </c>
      <c r="C77" s="126">
        <v>44682</v>
      </c>
      <c r="D77" s="103">
        <v>45504</v>
      </c>
      <c r="E77" s="103">
        <v>45568</v>
      </c>
      <c r="F77" s="58"/>
      <c r="G77" s="58"/>
      <c r="H77" s="58"/>
      <c r="I77" s="58"/>
      <c r="J77" s="58">
        <f t="shared" si="5"/>
        <v>64</v>
      </c>
      <c r="K77" s="58">
        <f t="shared" si="6"/>
        <v>0</v>
      </c>
      <c r="L77" s="58">
        <f t="shared" si="7"/>
        <v>0</v>
      </c>
      <c r="M77" s="58">
        <f t="shared" si="8"/>
        <v>64</v>
      </c>
      <c r="N77" s="58"/>
    </row>
    <row r="78" spans="1:14" x14ac:dyDescent="0.25">
      <c r="A78" s="91" t="s">
        <v>430</v>
      </c>
      <c r="B78" s="91" t="s">
        <v>561</v>
      </c>
      <c r="C78" s="126">
        <v>44682</v>
      </c>
      <c r="D78" s="58"/>
      <c r="E78" s="58"/>
      <c r="F78" s="58"/>
      <c r="G78" s="58"/>
      <c r="H78" s="58"/>
      <c r="I78" s="58"/>
      <c r="J78" s="58">
        <f t="shared" si="5"/>
        <v>0</v>
      </c>
      <c r="K78" s="58">
        <f t="shared" si="6"/>
        <v>0</v>
      </c>
      <c r="L78" s="58">
        <f t="shared" si="7"/>
        <v>0</v>
      </c>
      <c r="M78" s="58">
        <f t="shared" si="8"/>
        <v>0</v>
      </c>
      <c r="N78" s="58"/>
    </row>
    <row r="79" spans="1:14" x14ac:dyDescent="0.25">
      <c r="A79" s="91" t="s">
        <v>431</v>
      </c>
      <c r="B79" s="91" t="s">
        <v>562</v>
      </c>
      <c r="C79" s="126">
        <v>44652</v>
      </c>
      <c r="D79" s="58"/>
      <c r="E79" s="58"/>
      <c r="F79" s="58"/>
      <c r="G79" s="58"/>
      <c r="H79" s="58"/>
      <c r="I79" s="58"/>
      <c r="J79" s="58">
        <f t="shared" si="5"/>
        <v>0</v>
      </c>
      <c r="K79" s="58">
        <f t="shared" si="6"/>
        <v>0</v>
      </c>
      <c r="L79" s="58">
        <f t="shared" si="7"/>
        <v>0</v>
      </c>
      <c r="M79" s="58">
        <f t="shared" si="8"/>
        <v>0</v>
      </c>
      <c r="N79" s="58"/>
    </row>
    <row r="80" spans="1:14" x14ac:dyDescent="0.25">
      <c r="A80" s="91" t="s">
        <v>433</v>
      </c>
      <c r="B80" s="91" t="s">
        <v>338</v>
      </c>
      <c r="C80" s="126">
        <v>44682</v>
      </c>
      <c r="D80" s="103">
        <v>45571</v>
      </c>
      <c r="E80" s="103">
        <v>45602</v>
      </c>
      <c r="F80" s="58"/>
      <c r="G80" s="58"/>
      <c r="H80" s="58"/>
      <c r="I80" s="58"/>
      <c r="J80" s="58">
        <f t="shared" si="5"/>
        <v>31</v>
      </c>
      <c r="K80" s="58">
        <f t="shared" si="6"/>
        <v>0</v>
      </c>
      <c r="L80" s="58">
        <f t="shared" si="7"/>
        <v>0</v>
      </c>
      <c r="M80" s="58">
        <f t="shared" si="8"/>
        <v>31</v>
      </c>
      <c r="N80" s="58"/>
    </row>
    <row r="81" spans="1:14" x14ac:dyDescent="0.25">
      <c r="A81" s="91" t="s">
        <v>434</v>
      </c>
      <c r="B81" s="91" t="s">
        <v>564</v>
      </c>
      <c r="C81" s="126">
        <v>44682</v>
      </c>
      <c r="D81" s="58"/>
      <c r="E81" s="58"/>
      <c r="F81" s="58"/>
      <c r="G81" s="58"/>
      <c r="H81" s="58"/>
      <c r="I81" s="58"/>
      <c r="J81" s="58">
        <f t="shared" si="5"/>
        <v>0</v>
      </c>
      <c r="K81" s="58">
        <f t="shared" si="6"/>
        <v>0</v>
      </c>
      <c r="L81" s="58">
        <f t="shared" si="7"/>
        <v>0</v>
      </c>
      <c r="M81" s="58">
        <f t="shared" si="8"/>
        <v>0</v>
      </c>
      <c r="N81" s="58"/>
    </row>
    <row r="82" spans="1:14" x14ac:dyDescent="0.25">
      <c r="A82" s="91" t="s">
        <v>435</v>
      </c>
      <c r="B82" s="91" t="s">
        <v>565</v>
      </c>
      <c r="C82" s="126">
        <v>44682</v>
      </c>
      <c r="D82" s="103">
        <v>45413</v>
      </c>
      <c r="E82" s="103">
        <v>45474</v>
      </c>
      <c r="F82" s="58"/>
      <c r="G82" s="58"/>
      <c r="H82" s="58"/>
      <c r="I82" s="58"/>
      <c r="J82" s="58">
        <f t="shared" si="5"/>
        <v>61</v>
      </c>
      <c r="K82" s="58">
        <f t="shared" si="6"/>
        <v>0</v>
      </c>
      <c r="L82" s="58">
        <f t="shared" si="7"/>
        <v>0</v>
      </c>
      <c r="M82" s="58">
        <f t="shared" si="8"/>
        <v>61</v>
      </c>
      <c r="N82" s="58"/>
    </row>
    <row r="83" spans="1:14" x14ac:dyDescent="0.25">
      <c r="A83" s="91" t="s">
        <v>436</v>
      </c>
      <c r="B83" s="91" t="s">
        <v>566</v>
      </c>
      <c r="C83" s="124">
        <v>39083</v>
      </c>
      <c r="D83" s="103"/>
      <c r="E83" s="103"/>
      <c r="F83" s="103"/>
      <c r="G83" s="103"/>
      <c r="H83" s="58"/>
      <c r="I83" s="58"/>
      <c r="J83" s="58">
        <f t="shared" si="5"/>
        <v>0</v>
      </c>
      <c r="K83" s="58">
        <f t="shared" si="6"/>
        <v>0</v>
      </c>
      <c r="L83" s="58">
        <f t="shared" si="7"/>
        <v>0</v>
      </c>
      <c r="M83" s="58">
        <f t="shared" si="8"/>
        <v>0</v>
      </c>
      <c r="N83" s="58"/>
    </row>
    <row r="84" spans="1:14" x14ac:dyDescent="0.25">
      <c r="A84" s="91" t="s">
        <v>437</v>
      </c>
      <c r="B84" s="91" t="s">
        <v>567</v>
      </c>
      <c r="C84" s="124">
        <v>39083</v>
      </c>
      <c r="D84" s="103">
        <v>45467</v>
      </c>
      <c r="E84" s="103">
        <v>45526</v>
      </c>
      <c r="F84" s="58"/>
      <c r="G84" s="58"/>
      <c r="H84" s="58"/>
      <c r="I84" s="58"/>
      <c r="J84" s="58">
        <f t="shared" si="5"/>
        <v>59</v>
      </c>
      <c r="K84" s="58">
        <f t="shared" si="6"/>
        <v>0</v>
      </c>
      <c r="L84" s="58">
        <f t="shared" si="7"/>
        <v>0</v>
      </c>
      <c r="M84" s="58">
        <f t="shared" si="8"/>
        <v>59</v>
      </c>
      <c r="N84" s="58"/>
    </row>
    <row r="85" spans="1:14" x14ac:dyDescent="0.25">
      <c r="A85" s="91" t="s">
        <v>438</v>
      </c>
      <c r="B85" s="91" t="s">
        <v>568</v>
      </c>
      <c r="C85" s="124">
        <v>40940</v>
      </c>
      <c r="D85" s="103">
        <v>45440</v>
      </c>
      <c r="E85" s="103">
        <v>45463</v>
      </c>
      <c r="F85" s="58"/>
      <c r="G85" s="58"/>
      <c r="H85" s="58"/>
      <c r="I85" s="58"/>
      <c r="J85" s="58">
        <f t="shared" si="5"/>
        <v>23</v>
      </c>
      <c r="K85" s="58">
        <f t="shared" si="6"/>
        <v>0</v>
      </c>
      <c r="L85" s="58">
        <f t="shared" si="7"/>
        <v>0</v>
      </c>
      <c r="M85" s="58">
        <f t="shared" si="8"/>
        <v>23</v>
      </c>
      <c r="N85" s="58"/>
    </row>
    <row r="86" spans="1:14" x14ac:dyDescent="0.25">
      <c r="A86" s="91" t="s">
        <v>439</v>
      </c>
      <c r="B86" s="91" t="s">
        <v>569</v>
      </c>
      <c r="C86" s="124">
        <v>40848</v>
      </c>
      <c r="D86" s="103"/>
      <c r="E86" s="103"/>
      <c r="F86" s="58"/>
      <c r="G86" s="58"/>
      <c r="H86" s="58"/>
      <c r="I86" s="58"/>
      <c r="J86" s="58">
        <f t="shared" si="5"/>
        <v>0</v>
      </c>
      <c r="K86" s="58">
        <f t="shared" si="6"/>
        <v>0</v>
      </c>
      <c r="L86" s="58">
        <f t="shared" si="7"/>
        <v>0</v>
      </c>
      <c r="M86" s="58">
        <f t="shared" si="8"/>
        <v>0</v>
      </c>
      <c r="N86" s="58"/>
    </row>
    <row r="87" spans="1:14" x14ac:dyDescent="0.25">
      <c r="A87" s="91" t="s">
        <v>440</v>
      </c>
      <c r="B87" s="91" t="s">
        <v>570</v>
      </c>
      <c r="C87" s="127">
        <v>39173</v>
      </c>
      <c r="D87" s="103">
        <v>45600</v>
      </c>
      <c r="E87" s="103">
        <v>45657</v>
      </c>
      <c r="F87" s="103"/>
      <c r="G87" s="103"/>
      <c r="H87" s="58"/>
      <c r="I87" s="58"/>
      <c r="J87" s="58">
        <f t="shared" si="5"/>
        <v>57</v>
      </c>
      <c r="K87" s="58">
        <f t="shared" si="6"/>
        <v>0</v>
      </c>
      <c r="L87" s="58">
        <f t="shared" si="7"/>
        <v>0</v>
      </c>
      <c r="M87" s="58">
        <f t="shared" si="8"/>
        <v>57</v>
      </c>
      <c r="N87" s="58"/>
    </row>
    <row r="88" spans="1:14" x14ac:dyDescent="0.25">
      <c r="A88" s="91" t="s">
        <v>441</v>
      </c>
      <c r="B88" s="91" t="s">
        <v>571</v>
      </c>
      <c r="C88" s="124">
        <v>44075</v>
      </c>
      <c r="D88" s="103">
        <v>45383</v>
      </c>
      <c r="E88" s="103">
        <v>45452</v>
      </c>
      <c r="F88" s="58"/>
      <c r="G88" s="58"/>
      <c r="H88" s="58"/>
      <c r="I88" s="58"/>
      <c r="J88" s="58">
        <f t="shared" si="5"/>
        <v>69</v>
      </c>
      <c r="K88" s="58">
        <f t="shared" si="6"/>
        <v>0</v>
      </c>
      <c r="L88" s="58">
        <f t="shared" si="7"/>
        <v>0</v>
      </c>
      <c r="M88" s="58">
        <f t="shared" si="8"/>
        <v>69</v>
      </c>
      <c r="N88" s="58"/>
    </row>
    <row r="89" spans="1:14" x14ac:dyDescent="0.25">
      <c r="A89" s="91" t="s">
        <v>442</v>
      </c>
      <c r="B89" s="91" t="s">
        <v>572</v>
      </c>
      <c r="C89" s="124">
        <v>44378</v>
      </c>
      <c r="D89" s="103"/>
      <c r="E89" s="103"/>
      <c r="F89" s="58"/>
      <c r="G89" s="58"/>
      <c r="H89" s="58"/>
      <c r="I89" s="58"/>
      <c r="J89" s="58">
        <f t="shared" si="5"/>
        <v>0</v>
      </c>
      <c r="K89" s="58">
        <f t="shared" si="6"/>
        <v>0</v>
      </c>
      <c r="L89" s="58">
        <f t="shared" si="7"/>
        <v>0</v>
      </c>
      <c r="M89" s="58">
        <f t="shared" si="8"/>
        <v>0</v>
      </c>
      <c r="N89" s="58"/>
    </row>
    <row r="90" spans="1:14" x14ac:dyDescent="0.25">
      <c r="A90" s="91" t="s">
        <v>443</v>
      </c>
      <c r="B90" s="91" t="s">
        <v>573</v>
      </c>
      <c r="C90" s="124">
        <v>44682</v>
      </c>
      <c r="D90" s="103"/>
      <c r="E90" s="103"/>
      <c r="F90" s="58"/>
      <c r="G90" s="58"/>
      <c r="H90" s="58"/>
      <c r="I90" s="58"/>
      <c r="J90" s="58">
        <f t="shared" si="5"/>
        <v>0</v>
      </c>
      <c r="K90" s="58">
        <f t="shared" si="6"/>
        <v>0</v>
      </c>
      <c r="L90" s="58">
        <f t="shared" si="7"/>
        <v>0</v>
      </c>
      <c r="M90" s="58">
        <f t="shared" si="8"/>
        <v>0</v>
      </c>
      <c r="N90" s="58"/>
    </row>
    <row r="91" spans="1:14" x14ac:dyDescent="0.25">
      <c r="A91" s="91" t="s">
        <v>444</v>
      </c>
      <c r="B91" s="91" t="s">
        <v>574</v>
      </c>
      <c r="C91" s="124">
        <v>39083</v>
      </c>
      <c r="D91" s="103">
        <v>45489</v>
      </c>
      <c r="E91" s="103">
        <v>45539</v>
      </c>
      <c r="F91" s="103"/>
      <c r="G91" s="103"/>
      <c r="H91" s="103"/>
      <c r="I91" s="103"/>
      <c r="J91" s="58">
        <f t="shared" si="5"/>
        <v>50</v>
      </c>
      <c r="K91" s="58">
        <f t="shared" si="6"/>
        <v>0</v>
      </c>
      <c r="L91" s="58">
        <f t="shared" si="7"/>
        <v>0</v>
      </c>
      <c r="M91" s="58">
        <f t="shared" si="8"/>
        <v>50</v>
      </c>
      <c r="N91" s="58"/>
    </row>
    <row r="92" spans="1:14" x14ac:dyDescent="0.25">
      <c r="A92" s="91" t="s">
        <v>445</v>
      </c>
      <c r="B92" s="91" t="s">
        <v>575</v>
      </c>
      <c r="C92" s="124">
        <v>40544</v>
      </c>
      <c r="D92" s="103"/>
      <c r="E92" s="103"/>
      <c r="F92" s="103"/>
      <c r="G92" s="103"/>
      <c r="H92" s="103"/>
      <c r="I92" s="103"/>
      <c r="J92" s="58">
        <f t="shared" si="5"/>
        <v>0</v>
      </c>
      <c r="K92" s="58">
        <f t="shared" si="6"/>
        <v>0</v>
      </c>
      <c r="L92" s="58">
        <f t="shared" si="7"/>
        <v>0</v>
      </c>
      <c r="M92" s="58">
        <f t="shared" si="8"/>
        <v>0</v>
      </c>
      <c r="N92" s="58"/>
    </row>
    <row r="93" spans="1:14" x14ac:dyDescent="0.25">
      <c r="A93" s="91" t="s">
        <v>446</v>
      </c>
      <c r="B93" s="91" t="s">
        <v>576</v>
      </c>
      <c r="C93" s="124">
        <v>41456</v>
      </c>
      <c r="D93" s="103"/>
      <c r="E93" s="103"/>
      <c r="F93" s="58"/>
      <c r="G93" s="58"/>
      <c r="H93" s="58"/>
      <c r="I93" s="58"/>
      <c r="J93" s="58">
        <f t="shared" si="5"/>
        <v>0</v>
      </c>
      <c r="K93" s="58">
        <f t="shared" si="6"/>
        <v>0</v>
      </c>
      <c r="L93" s="58">
        <f t="shared" si="7"/>
        <v>0</v>
      </c>
      <c r="M93" s="58">
        <f t="shared" si="8"/>
        <v>0</v>
      </c>
      <c r="N93" s="58"/>
    </row>
    <row r="94" spans="1:14" x14ac:dyDescent="0.25">
      <c r="A94" s="91" t="s">
        <v>447</v>
      </c>
      <c r="B94" s="91" t="s">
        <v>577</v>
      </c>
      <c r="C94" s="124">
        <v>42979</v>
      </c>
      <c r="D94" s="103">
        <v>45519</v>
      </c>
      <c r="E94" s="103">
        <v>45568</v>
      </c>
      <c r="F94" s="58"/>
      <c r="G94" s="58"/>
      <c r="H94" s="58"/>
      <c r="I94" s="58"/>
      <c r="J94" s="58">
        <f t="shared" si="5"/>
        <v>49</v>
      </c>
      <c r="K94" s="58">
        <f t="shared" si="6"/>
        <v>0</v>
      </c>
      <c r="L94" s="58">
        <f t="shared" si="7"/>
        <v>0</v>
      </c>
      <c r="M94" s="58">
        <f t="shared" si="8"/>
        <v>49</v>
      </c>
      <c r="N94" s="58"/>
    </row>
    <row r="95" spans="1:14" x14ac:dyDescent="0.25">
      <c r="A95" s="91" t="s">
        <v>448</v>
      </c>
      <c r="B95" s="91" t="s">
        <v>578</v>
      </c>
      <c r="C95" s="124">
        <v>44013</v>
      </c>
      <c r="D95" s="103">
        <v>45566</v>
      </c>
      <c r="E95" s="103">
        <v>45623</v>
      </c>
      <c r="F95" s="58"/>
      <c r="G95" s="58"/>
      <c r="H95" s="58"/>
      <c r="I95" s="58"/>
      <c r="J95" s="58">
        <f t="shared" si="5"/>
        <v>57</v>
      </c>
      <c r="K95" s="58">
        <f t="shared" si="6"/>
        <v>0</v>
      </c>
      <c r="L95" s="58">
        <f t="shared" si="7"/>
        <v>0</v>
      </c>
      <c r="M95" s="58">
        <f t="shared" si="8"/>
        <v>57</v>
      </c>
      <c r="N95" s="58"/>
    </row>
    <row r="96" spans="1:14" x14ac:dyDescent="0.25">
      <c r="A96" s="91" t="s">
        <v>449</v>
      </c>
      <c r="B96" s="91" t="s">
        <v>579</v>
      </c>
      <c r="C96" s="124">
        <v>44013</v>
      </c>
      <c r="D96" s="103"/>
      <c r="E96" s="103"/>
      <c r="F96" s="58"/>
      <c r="G96" s="58"/>
      <c r="H96" s="58"/>
      <c r="I96" s="58"/>
      <c r="J96" s="58">
        <f t="shared" si="5"/>
        <v>0</v>
      </c>
      <c r="K96" s="58">
        <f t="shared" si="6"/>
        <v>0</v>
      </c>
      <c r="L96" s="58">
        <f t="shared" si="7"/>
        <v>0</v>
      </c>
      <c r="M96" s="58">
        <f t="shared" si="8"/>
        <v>0</v>
      </c>
      <c r="N96" s="58"/>
    </row>
    <row r="97" spans="1:14" x14ac:dyDescent="0.25">
      <c r="A97" s="91" t="s">
        <v>384</v>
      </c>
      <c r="B97" s="91" t="s">
        <v>43</v>
      </c>
      <c r="C97" s="124">
        <v>40210</v>
      </c>
      <c r="D97" s="103"/>
      <c r="E97" s="103"/>
      <c r="F97" s="58"/>
      <c r="G97" s="58"/>
      <c r="H97" s="58"/>
      <c r="I97" s="58"/>
      <c r="J97" s="58">
        <f t="shared" si="5"/>
        <v>0</v>
      </c>
      <c r="K97" s="58">
        <f t="shared" si="6"/>
        <v>0</v>
      </c>
      <c r="L97" s="58">
        <f t="shared" si="7"/>
        <v>0</v>
      </c>
      <c r="M97" s="58">
        <f t="shared" si="8"/>
        <v>0</v>
      </c>
      <c r="N97" s="58"/>
    </row>
    <row r="98" spans="1:14" x14ac:dyDescent="0.25">
      <c r="A98" s="91" t="s">
        <v>450</v>
      </c>
      <c r="B98" s="91" t="s">
        <v>580</v>
      </c>
      <c r="C98" s="124">
        <v>44470</v>
      </c>
      <c r="D98" s="103"/>
      <c r="E98" s="103"/>
      <c r="F98" s="58"/>
      <c r="G98" s="58"/>
      <c r="H98" s="58"/>
      <c r="I98" s="58"/>
      <c r="J98" s="58">
        <f t="shared" si="5"/>
        <v>0</v>
      </c>
      <c r="K98" s="58">
        <f t="shared" si="6"/>
        <v>0</v>
      </c>
      <c r="L98" s="58">
        <f t="shared" si="7"/>
        <v>0</v>
      </c>
      <c r="M98" s="58">
        <f t="shared" si="8"/>
        <v>0</v>
      </c>
      <c r="N98" s="58"/>
    </row>
    <row r="99" spans="1:14" x14ac:dyDescent="0.25">
      <c r="A99" s="91" t="s">
        <v>451</v>
      </c>
      <c r="B99" s="91" t="s">
        <v>274</v>
      </c>
      <c r="C99" s="128">
        <v>43678</v>
      </c>
      <c r="D99" s="103"/>
      <c r="E99" s="103"/>
      <c r="F99" s="58"/>
      <c r="G99" s="58"/>
      <c r="H99" s="58"/>
      <c r="I99" s="58"/>
      <c r="J99" s="58">
        <f t="shared" si="5"/>
        <v>0</v>
      </c>
      <c r="K99" s="58">
        <f t="shared" si="6"/>
        <v>0</v>
      </c>
      <c r="L99" s="58">
        <f t="shared" si="7"/>
        <v>0</v>
      </c>
      <c r="M99" s="58">
        <f t="shared" si="8"/>
        <v>0</v>
      </c>
      <c r="N99" s="58"/>
    </row>
    <row r="100" spans="1:14" x14ac:dyDescent="0.25">
      <c r="A100" s="91" t="s">
        <v>452</v>
      </c>
      <c r="B100" s="91" t="s">
        <v>581</v>
      </c>
      <c r="C100" s="124">
        <v>39083</v>
      </c>
      <c r="D100" s="137">
        <v>45644</v>
      </c>
      <c r="E100" s="103">
        <v>45657</v>
      </c>
      <c r="F100" s="58"/>
      <c r="G100" s="58"/>
      <c r="H100" s="58"/>
      <c r="I100" s="58"/>
      <c r="J100" s="58">
        <f t="shared" si="5"/>
        <v>13</v>
      </c>
      <c r="K100" s="58">
        <f t="shared" si="6"/>
        <v>0</v>
      </c>
      <c r="L100" s="58">
        <f t="shared" si="7"/>
        <v>0</v>
      </c>
      <c r="M100" s="58">
        <f t="shared" si="8"/>
        <v>13</v>
      </c>
      <c r="N100" s="58"/>
    </row>
    <row r="101" spans="1:14" x14ac:dyDescent="0.25">
      <c r="A101" s="91" t="s">
        <v>453</v>
      </c>
      <c r="B101" s="91" t="s">
        <v>582</v>
      </c>
      <c r="C101" s="128">
        <v>44713</v>
      </c>
      <c r="D101" s="103">
        <v>45351</v>
      </c>
      <c r="E101" s="103">
        <v>45383</v>
      </c>
      <c r="F101" s="58"/>
      <c r="G101" s="58"/>
      <c r="H101" s="58"/>
      <c r="I101" s="58"/>
      <c r="J101" s="58">
        <f t="shared" si="5"/>
        <v>32</v>
      </c>
      <c r="K101" s="58">
        <f t="shared" si="6"/>
        <v>0</v>
      </c>
      <c r="L101" s="58">
        <f t="shared" si="7"/>
        <v>0</v>
      </c>
      <c r="M101" s="58">
        <f t="shared" si="8"/>
        <v>32</v>
      </c>
      <c r="N101" s="58"/>
    </row>
    <row r="102" spans="1:14" x14ac:dyDescent="0.25">
      <c r="A102" s="91" t="s">
        <v>454</v>
      </c>
      <c r="B102" s="91" t="s">
        <v>583</v>
      </c>
      <c r="C102" s="124">
        <v>43983</v>
      </c>
      <c r="D102" s="103"/>
      <c r="E102" s="103"/>
      <c r="F102" s="58"/>
      <c r="G102" s="58"/>
      <c r="H102" s="58"/>
      <c r="I102" s="58"/>
      <c r="J102" s="58">
        <f t="shared" si="5"/>
        <v>0</v>
      </c>
      <c r="K102" s="58">
        <f t="shared" si="6"/>
        <v>0</v>
      </c>
      <c r="L102" s="58">
        <f t="shared" si="7"/>
        <v>0</v>
      </c>
      <c r="M102" s="58">
        <f t="shared" si="8"/>
        <v>0</v>
      </c>
      <c r="N102" s="58"/>
    </row>
    <row r="103" spans="1:14" x14ac:dyDescent="0.25">
      <c r="A103" s="91" t="s">
        <v>455</v>
      </c>
      <c r="B103" s="91" t="s">
        <v>584</v>
      </c>
      <c r="C103" s="124">
        <v>42856</v>
      </c>
      <c r="D103" s="103"/>
      <c r="E103" s="103"/>
      <c r="F103" s="58"/>
      <c r="G103" s="58"/>
      <c r="H103" s="58"/>
      <c r="I103" s="58"/>
      <c r="J103" s="58">
        <f t="shared" si="5"/>
        <v>0</v>
      </c>
      <c r="K103" s="58">
        <f t="shared" si="6"/>
        <v>0</v>
      </c>
      <c r="L103" s="58">
        <f t="shared" si="7"/>
        <v>0</v>
      </c>
      <c r="M103" s="58">
        <f t="shared" si="8"/>
        <v>0</v>
      </c>
      <c r="N103" s="58"/>
    </row>
    <row r="104" spans="1:14" x14ac:dyDescent="0.25">
      <c r="A104" s="91" t="s">
        <v>456</v>
      </c>
      <c r="B104" s="91" t="s">
        <v>585</v>
      </c>
      <c r="C104" s="124">
        <v>41609</v>
      </c>
      <c r="D104" s="103">
        <v>45353</v>
      </c>
      <c r="E104" s="103">
        <v>45417</v>
      </c>
      <c r="F104" s="58"/>
      <c r="G104" s="58"/>
      <c r="H104" s="58"/>
      <c r="I104" s="58"/>
      <c r="J104" s="58">
        <f t="shared" si="5"/>
        <v>64</v>
      </c>
      <c r="K104" s="58">
        <f t="shared" si="6"/>
        <v>0</v>
      </c>
      <c r="L104" s="58">
        <f t="shared" si="7"/>
        <v>0</v>
      </c>
      <c r="M104" s="58">
        <f t="shared" si="8"/>
        <v>64</v>
      </c>
      <c r="N104" s="58"/>
    </row>
    <row r="105" spans="1:14" x14ac:dyDescent="0.25">
      <c r="A105" s="91" t="s">
        <v>457</v>
      </c>
      <c r="B105" s="91" t="s">
        <v>586</v>
      </c>
      <c r="C105" s="124">
        <v>39083</v>
      </c>
      <c r="D105" s="103"/>
      <c r="E105" s="103"/>
      <c r="F105" s="58"/>
      <c r="G105" s="58"/>
      <c r="H105" s="58"/>
      <c r="I105" s="58"/>
      <c r="J105" s="58">
        <f t="shared" si="5"/>
        <v>0</v>
      </c>
      <c r="K105" s="58">
        <f t="shared" si="6"/>
        <v>0</v>
      </c>
      <c r="L105" s="58">
        <f t="shared" si="7"/>
        <v>0</v>
      </c>
      <c r="M105" s="58">
        <f t="shared" si="8"/>
        <v>0</v>
      </c>
      <c r="N105" s="58"/>
    </row>
    <row r="106" spans="1:14" x14ac:dyDescent="0.25">
      <c r="A106" s="91" t="s">
        <v>458</v>
      </c>
      <c r="B106" s="91" t="s">
        <v>587</v>
      </c>
      <c r="C106" s="124">
        <v>39083</v>
      </c>
      <c r="D106" s="103">
        <v>45350</v>
      </c>
      <c r="E106" s="103">
        <v>45432</v>
      </c>
      <c r="F106" s="58"/>
      <c r="G106" s="58"/>
      <c r="H106" s="58"/>
      <c r="I106" s="58"/>
      <c r="J106" s="58">
        <f t="shared" si="5"/>
        <v>82</v>
      </c>
      <c r="K106" s="58">
        <f t="shared" si="6"/>
        <v>0</v>
      </c>
      <c r="L106" s="58">
        <f t="shared" si="7"/>
        <v>0</v>
      </c>
      <c r="M106" s="58">
        <f t="shared" si="8"/>
        <v>82</v>
      </c>
      <c r="N106" s="58"/>
    </row>
    <row r="107" spans="1:14" x14ac:dyDescent="0.25">
      <c r="A107" s="91" t="s">
        <v>459</v>
      </c>
      <c r="B107" s="91" t="s">
        <v>588</v>
      </c>
      <c r="C107" s="124">
        <v>39326</v>
      </c>
      <c r="D107" s="103"/>
      <c r="E107" s="103"/>
      <c r="F107" s="58"/>
      <c r="G107" s="58"/>
      <c r="H107" s="58"/>
      <c r="I107" s="58"/>
      <c r="J107" s="58">
        <f t="shared" si="5"/>
        <v>0</v>
      </c>
      <c r="K107" s="58">
        <f t="shared" si="6"/>
        <v>0</v>
      </c>
      <c r="L107" s="58">
        <f t="shared" si="7"/>
        <v>0</v>
      </c>
      <c r="M107" s="58">
        <f t="shared" si="8"/>
        <v>0</v>
      </c>
      <c r="N107" s="58"/>
    </row>
    <row r="108" spans="1:14" x14ac:dyDescent="0.25">
      <c r="A108" s="91" t="s">
        <v>460</v>
      </c>
      <c r="B108" s="91" t="s">
        <v>589</v>
      </c>
      <c r="C108" s="124">
        <v>39783</v>
      </c>
      <c r="D108" s="103">
        <v>45442</v>
      </c>
      <c r="E108" s="103">
        <v>45471</v>
      </c>
      <c r="F108" s="58"/>
      <c r="G108" s="58"/>
      <c r="H108" s="58"/>
      <c r="I108" s="58"/>
      <c r="J108" s="58">
        <f t="shared" si="5"/>
        <v>29</v>
      </c>
      <c r="K108" s="58">
        <f t="shared" si="6"/>
        <v>0</v>
      </c>
      <c r="L108" s="58">
        <f t="shared" si="7"/>
        <v>0</v>
      </c>
      <c r="M108" s="58">
        <f t="shared" si="8"/>
        <v>29</v>
      </c>
      <c r="N108" s="58"/>
    </row>
    <row r="109" spans="1:14" x14ac:dyDescent="0.25">
      <c r="A109" s="91" t="s">
        <v>461</v>
      </c>
      <c r="B109" s="91" t="s">
        <v>590</v>
      </c>
      <c r="C109" s="124">
        <v>40695</v>
      </c>
      <c r="D109" s="103"/>
      <c r="E109" s="103"/>
      <c r="F109" s="58"/>
      <c r="G109" s="58"/>
      <c r="H109" s="58"/>
      <c r="I109" s="58"/>
      <c r="J109" s="58">
        <f t="shared" si="5"/>
        <v>0</v>
      </c>
      <c r="K109" s="58">
        <f t="shared" si="6"/>
        <v>0</v>
      </c>
      <c r="L109" s="58">
        <f t="shared" si="7"/>
        <v>0</v>
      </c>
      <c r="M109" s="58">
        <f t="shared" si="8"/>
        <v>0</v>
      </c>
      <c r="N109" s="58"/>
    </row>
    <row r="110" spans="1:14" x14ac:dyDescent="0.25">
      <c r="A110" s="91" t="s">
        <v>462</v>
      </c>
      <c r="B110" s="91" t="s">
        <v>591</v>
      </c>
      <c r="C110" s="124">
        <v>41791</v>
      </c>
      <c r="D110" s="103">
        <v>45404</v>
      </c>
      <c r="E110" s="103">
        <v>45464</v>
      </c>
      <c r="F110" s="58"/>
      <c r="G110" s="58"/>
      <c r="H110" s="58"/>
      <c r="I110" s="58"/>
      <c r="J110" s="58">
        <f t="shared" si="5"/>
        <v>60</v>
      </c>
      <c r="K110" s="58">
        <f t="shared" si="6"/>
        <v>0</v>
      </c>
      <c r="L110" s="58">
        <f t="shared" si="7"/>
        <v>0</v>
      </c>
      <c r="M110" s="58">
        <f t="shared" si="8"/>
        <v>60</v>
      </c>
      <c r="N110" s="58"/>
    </row>
    <row r="111" spans="1:14" x14ac:dyDescent="0.25">
      <c r="A111" s="91" t="s">
        <v>463</v>
      </c>
      <c r="B111" s="91" t="s">
        <v>592</v>
      </c>
      <c r="C111" s="124">
        <v>41852</v>
      </c>
      <c r="D111" s="103"/>
      <c r="E111" s="103"/>
      <c r="F111" s="58"/>
      <c r="G111" s="58"/>
      <c r="H111" s="58"/>
      <c r="I111" s="58"/>
      <c r="J111" s="58">
        <f t="shared" si="5"/>
        <v>0</v>
      </c>
      <c r="K111" s="58">
        <f t="shared" si="6"/>
        <v>0</v>
      </c>
      <c r="L111" s="58">
        <f t="shared" si="7"/>
        <v>0</v>
      </c>
      <c r="M111" s="58">
        <f t="shared" si="8"/>
        <v>0</v>
      </c>
      <c r="N111" s="58"/>
    </row>
    <row r="112" spans="1:14" x14ac:dyDescent="0.25">
      <c r="A112" s="91" t="s">
        <v>464</v>
      </c>
      <c r="B112" s="91" t="s">
        <v>593</v>
      </c>
      <c r="C112" s="124">
        <v>42156</v>
      </c>
      <c r="D112" s="103">
        <v>45440</v>
      </c>
      <c r="E112" s="103">
        <v>45476</v>
      </c>
      <c r="F112" s="58"/>
      <c r="G112" s="58"/>
      <c r="H112" s="58"/>
      <c r="I112" s="58"/>
      <c r="J112" s="58">
        <f t="shared" si="5"/>
        <v>36</v>
      </c>
      <c r="K112" s="58">
        <f t="shared" si="6"/>
        <v>0</v>
      </c>
      <c r="L112" s="58">
        <f t="shared" si="7"/>
        <v>0</v>
      </c>
      <c r="M112" s="58">
        <f t="shared" si="8"/>
        <v>36</v>
      </c>
      <c r="N112" s="58"/>
    </row>
    <row r="113" spans="1:14" x14ac:dyDescent="0.25">
      <c r="A113" s="91" t="s">
        <v>465</v>
      </c>
      <c r="B113" s="91" t="s">
        <v>594</v>
      </c>
      <c r="C113" s="124">
        <v>42140</v>
      </c>
      <c r="D113" s="103"/>
      <c r="E113" s="103"/>
      <c r="F113" s="58"/>
      <c r="G113" s="58"/>
      <c r="H113" s="58"/>
      <c r="I113" s="58"/>
      <c r="J113" s="58">
        <f t="shared" si="5"/>
        <v>0</v>
      </c>
      <c r="K113" s="58">
        <f t="shared" si="6"/>
        <v>0</v>
      </c>
      <c r="L113" s="58">
        <f t="shared" si="7"/>
        <v>0</v>
      </c>
      <c r="M113" s="58">
        <f t="shared" si="8"/>
        <v>0</v>
      </c>
      <c r="N113" s="58"/>
    </row>
    <row r="114" spans="1:14" x14ac:dyDescent="0.25">
      <c r="A114" s="91" t="s">
        <v>466</v>
      </c>
      <c r="B114" s="91" t="s">
        <v>595</v>
      </c>
      <c r="C114" s="128">
        <v>43040</v>
      </c>
      <c r="D114" s="103"/>
      <c r="E114" s="103"/>
      <c r="F114" s="58"/>
      <c r="G114" s="58"/>
      <c r="H114" s="58"/>
      <c r="I114" s="58"/>
      <c r="J114" s="58">
        <f t="shared" si="5"/>
        <v>0</v>
      </c>
      <c r="K114" s="58">
        <f t="shared" si="6"/>
        <v>0</v>
      </c>
      <c r="L114" s="58">
        <f t="shared" si="7"/>
        <v>0</v>
      </c>
      <c r="M114" s="58">
        <f t="shared" si="8"/>
        <v>0</v>
      </c>
      <c r="N114" s="58"/>
    </row>
    <row r="115" spans="1:14" x14ac:dyDescent="0.25">
      <c r="A115" s="91" t="s">
        <v>469</v>
      </c>
      <c r="B115" s="91" t="s">
        <v>467</v>
      </c>
      <c r="C115" s="44">
        <v>44256</v>
      </c>
      <c r="D115" s="103">
        <v>45292</v>
      </c>
      <c r="E115" s="103">
        <v>45316</v>
      </c>
      <c r="F115" s="58"/>
      <c r="G115" s="58"/>
      <c r="H115" s="58"/>
      <c r="I115" s="58"/>
      <c r="J115" s="58">
        <f t="shared" si="5"/>
        <v>24</v>
      </c>
      <c r="K115" s="58">
        <f t="shared" si="6"/>
        <v>0</v>
      </c>
      <c r="L115" s="58">
        <f t="shared" si="7"/>
        <v>0</v>
      </c>
      <c r="M115" s="58">
        <f t="shared" si="8"/>
        <v>24</v>
      </c>
      <c r="N115" s="58"/>
    </row>
    <row r="116" spans="1:14" x14ac:dyDescent="0.25">
      <c r="A116" s="91" t="s">
        <v>475</v>
      </c>
      <c r="B116" s="91" t="s">
        <v>596</v>
      </c>
      <c r="C116" s="44">
        <v>44348</v>
      </c>
      <c r="D116" s="103"/>
      <c r="E116" s="103"/>
      <c r="F116" s="58"/>
      <c r="G116" s="58"/>
      <c r="H116" s="58"/>
      <c r="I116" s="58"/>
      <c r="J116" s="58">
        <f t="shared" si="5"/>
        <v>0</v>
      </c>
      <c r="K116" s="58">
        <f t="shared" si="6"/>
        <v>0</v>
      </c>
      <c r="L116" s="58">
        <f t="shared" si="7"/>
        <v>0</v>
      </c>
      <c r="M116" s="58">
        <f t="shared" si="8"/>
        <v>0</v>
      </c>
      <c r="N116" s="58"/>
    </row>
    <row r="117" spans="1:14" x14ac:dyDescent="0.25">
      <c r="A117" s="91" t="s">
        <v>470</v>
      </c>
      <c r="B117" s="91" t="s">
        <v>468</v>
      </c>
      <c r="C117" s="44">
        <v>44470</v>
      </c>
      <c r="D117" s="103"/>
      <c r="E117" s="103"/>
      <c r="F117" s="58"/>
      <c r="G117" s="58"/>
      <c r="H117" s="58"/>
      <c r="I117" s="58"/>
      <c r="J117" s="58">
        <f t="shared" si="5"/>
        <v>0</v>
      </c>
      <c r="K117" s="58">
        <f t="shared" si="6"/>
        <v>0</v>
      </c>
      <c r="L117" s="58">
        <f t="shared" si="7"/>
        <v>0</v>
      </c>
      <c r="M117" s="58">
        <f t="shared" si="8"/>
        <v>0</v>
      </c>
      <c r="N117" s="58"/>
    </row>
    <row r="118" spans="1:14" x14ac:dyDescent="0.25">
      <c r="A118" s="91" t="s">
        <v>471</v>
      </c>
      <c r="B118" s="91" t="s">
        <v>597</v>
      </c>
      <c r="C118" s="44">
        <v>44470</v>
      </c>
      <c r="D118" s="58"/>
      <c r="E118" s="58"/>
      <c r="F118" s="58"/>
      <c r="G118" s="58"/>
      <c r="H118" s="58"/>
      <c r="I118" s="58"/>
      <c r="J118" s="58">
        <f t="shared" si="5"/>
        <v>0</v>
      </c>
      <c r="K118" s="58">
        <f t="shared" si="6"/>
        <v>0</v>
      </c>
      <c r="L118" s="58">
        <f t="shared" si="7"/>
        <v>0</v>
      </c>
      <c r="M118" s="58">
        <f t="shared" si="8"/>
        <v>0</v>
      </c>
      <c r="N118" s="58"/>
    </row>
    <row r="119" spans="1:14" x14ac:dyDescent="0.25">
      <c r="A119" s="91" t="s">
        <v>472</v>
      </c>
      <c r="B119" s="91" t="s">
        <v>598</v>
      </c>
      <c r="C119" s="44">
        <v>44713</v>
      </c>
      <c r="D119" s="58"/>
      <c r="E119" s="58"/>
      <c r="F119" s="58"/>
      <c r="G119" s="58"/>
      <c r="H119" s="58"/>
      <c r="I119" s="58"/>
      <c r="J119" s="58">
        <f t="shared" si="5"/>
        <v>0</v>
      </c>
      <c r="K119" s="58">
        <f t="shared" si="6"/>
        <v>0</v>
      </c>
      <c r="L119" s="58">
        <f t="shared" si="7"/>
        <v>0</v>
      </c>
      <c r="M119" s="58">
        <f t="shared" si="8"/>
        <v>0</v>
      </c>
      <c r="N119" s="58"/>
    </row>
    <row r="120" spans="1:14" x14ac:dyDescent="0.25">
      <c r="A120" s="91" t="s">
        <v>473</v>
      </c>
      <c r="B120" s="91" t="s">
        <v>348</v>
      </c>
      <c r="C120" s="44">
        <v>44746</v>
      </c>
      <c r="D120" s="103">
        <v>45313</v>
      </c>
      <c r="E120" s="103">
        <v>45326</v>
      </c>
      <c r="F120" s="58"/>
      <c r="G120" s="58"/>
      <c r="H120" s="58"/>
      <c r="I120" s="58"/>
      <c r="J120" s="58">
        <f t="shared" si="5"/>
        <v>13</v>
      </c>
      <c r="K120" s="58">
        <f t="shared" si="6"/>
        <v>0</v>
      </c>
      <c r="L120" s="58">
        <f t="shared" si="7"/>
        <v>0</v>
      </c>
      <c r="M120" s="58">
        <f t="shared" si="8"/>
        <v>13</v>
      </c>
      <c r="N120" s="58"/>
    </row>
    <row r="121" spans="1:14" x14ac:dyDescent="0.25">
      <c r="A121" s="91" t="s">
        <v>474</v>
      </c>
      <c r="B121" s="91" t="s">
        <v>349</v>
      </c>
      <c r="C121" s="44">
        <v>44734</v>
      </c>
      <c r="D121" s="103">
        <v>45571</v>
      </c>
      <c r="E121" s="103">
        <v>45628</v>
      </c>
      <c r="F121" s="103"/>
      <c r="G121" s="103"/>
      <c r="H121" s="103"/>
      <c r="I121" s="103"/>
      <c r="J121" s="58">
        <f t="shared" si="5"/>
        <v>57</v>
      </c>
      <c r="K121" s="58">
        <f t="shared" si="6"/>
        <v>0</v>
      </c>
      <c r="L121" s="58">
        <f t="shared" si="7"/>
        <v>0</v>
      </c>
      <c r="M121" s="58">
        <f t="shared" si="8"/>
        <v>57</v>
      </c>
      <c r="N121" s="58"/>
    </row>
    <row r="122" spans="1:14" x14ac:dyDescent="0.25">
      <c r="A122" s="91" t="s">
        <v>476</v>
      </c>
      <c r="B122" s="91" t="s">
        <v>350</v>
      </c>
      <c r="C122" s="44">
        <v>44762</v>
      </c>
      <c r="D122" s="103">
        <v>45334</v>
      </c>
      <c r="E122" s="103">
        <v>45340</v>
      </c>
      <c r="F122" s="103">
        <v>45431</v>
      </c>
      <c r="G122" s="103">
        <v>45440</v>
      </c>
      <c r="H122" s="103">
        <v>45516</v>
      </c>
      <c r="I122" s="103">
        <v>45553</v>
      </c>
      <c r="J122" s="58">
        <f t="shared" si="5"/>
        <v>6</v>
      </c>
      <c r="K122" s="58">
        <f t="shared" si="6"/>
        <v>9</v>
      </c>
      <c r="L122" s="58">
        <f t="shared" si="7"/>
        <v>37</v>
      </c>
      <c r="M122" s="58">
        <f>J122+K122+L122</f>
        <v>52</v>
      </c>
      <c r="N122" s="58"/>
    </row>
    <row r="123" spans="1:14" x14ac:dyDescent="0.25">
      <c r="A123" s="91" t="s">
        <v>477</v>
      </c>
      <c r="B123" s="91" t="s">
        <v>136</v>
      </c>
      <c r="C123" s="44">
        <v>44805</v>
      </c>
      <c r="D123" s="103">
        <v>45307</v>
      </c>
      <c r="E123" s="103">
        <v>45325</v>
      </c>
      <c r="F123" s="103">
        <v>45657</v>
      </c>
      <c r="G123" s="103">
        <v>45658</v>
      </c>
      <c r="H123" s="103"/>
      <c r="I123" s="103"/>
      <c r="J123" s="58">
        <f t="shared" si="5"/>
        <v>18</v>
      </c>
      <c r="K123" s="58">
        <f t="shared" si="6"/>
        <v>1</v>
      </c>
      <c r="L123" s="58">
        <f t="shared" si="7"/>
        <v>0</v>
      </c>
      <c r="M123" s="58">
        <f t="shared" si="8"/>
        <v>19</v>
      </c>
      <c r="N123" s="58"/>
    </row>
    <row r="124" spans="1:14" x14ac:dyDescent="0.25">
      <c r="A124" s="91" t="s">
        <v>478</v>
      </c>
      <c r="B124" s="91" t="s">
        <v>184</v>
      </c>
      <c r="C124" s="44">
        <v>44817</v>
      </c>
      <c r="D124" s="74"/>
      <c r="E124" s="103"/>
      <c r="F124" s="103"/>
      <c r="G124" s="103"/>
      <c r="H124" s="103"/>
      <c r="I124" s="103"/>
      <c r="J124" s="58">
        <f t="shared" si="5"/>
        <v>0</v>
      </c>
      <c r="K124" s="58">
        <f t="shared" si="6"/>
        <v>0</v>
      </c>
      <c r="L124" s="58">
        <f t="shared" si="7"/>
        <v>0</v>
      </c>
      <c r="M124" s="58">
        <f t="shared" si="8"/>
        <v>0</v>
      </c>
      <c r="N124" s="58"/>
    </row>
    <row r="125" spans="1:14" x14ac:dyDescent="0.25">
      <c r="A125" s="91" t="s">
        <v>479</v>
      </c>
      <c r="B125" s="91" t="s">
        <v>351</v>
      </c>
      <c r="C125" s="124">
        <v>44513</v>
      </c>
      <c r="D125" s="74"/>
      <c r="E125" s="103"/>
      <c r="F125" s="103"/>
      <c r="G125" s="103"/>
      <c r="H125" s="103"/>
      <c r="I125" s="103"/>
      <c r="J125" s="58">
        <f t="shared" si="5"/>
        <v>0</v>
      </c>
      <c r="K125" s="58">
        <f t="shared" si="6"/>
        <v>0</v>
      </c>
      <c r="L125" s="58">
        <f t="shared" si="7"/>
        <v>0</v>
      </c>
      <c r="M125" s="58">
        <f t="shared" si="8"/>
        <v>0</v>
      </c>
      <c r="N125" s="58"/>
    </row>
    <row r="126" spans="1:14" x14ac:dyDescent="0.25">
      <c r="A126" s="91" t="s">
        <v>482</v>
      </c>
      <c r="B126" s="91" t="s">
        <v>481</v>
      </c>
      <c r="C126" s="124">
        <v>44866</v>
      </c>
      <c r="D126" s="103">
        <v>45389</v>
      </c>
      <c r="E126" s="103">
        <v>45403</v>
      </c>
      <c r="F126" s="58"/>
      <c r="G126" s="58"/>
      <c r="H126" s="58"/>
      <c r="I126" s="58"/>
      <c r="J126" s="58">
        <f t="shared" si="5"/>
        <v>14</v>
      </c>
      <c r="K126" s="58">
        <f t="shared" si="6"/>
        <v>0</v>
      </c>
      <c r="L126" s="58">
        <f t="shared" si="7"/>
        <v>0</v>
      </c>
      <c r="M126" s="58">
        <f t="shared" si="8"/>
        <v>14</v>
      </c>
      <c r="N126" s="58"/>
    </row>
    <row r="127" spans="1:14" x14ac:dyDescent="0.25">
      <c r="A127" s="91" t="s">
        <v>487</v>
      </c>
      <c r="B127" s="91" t="s">
        <v>484</v>
      </c>
      <c r="C127" s="124">
        <v>44875</v>
      </c>
      <c r="D127" s="58"/>
      <c r="E127" s="58"/>
      <c r="F127" s="58"/>
      <c r="G127" s="58"/>
      <c r="H127" s="58"/>
      <c r="I127" s="58"/>
      <c r="J127" s="58">
        <f t="shared" si="5"/>
        <v>0</v>
      </c>
      <c r="K127" s="58">
        <f t="shared" si="6"/>
        <v>0</v>
      </c>
      <c r="L127" s="58">
        <f t="shared" si="7"/>
        <v>0</v>
      </c>
      <c r="M127" s="58">
        <f t="shared" si="8"/>
        <v>0</v>
      </c>
      <c r="N127" s="58"/>
    </row>
    <row r="128" spans="1:14" x14ac:dyDescent="0.25">
      <c r="A128" s="91" t="s">
        <v>488</v>
      </c>
      <c r="B128" s="91" t="s">
        <v>485</v>
      </c>
      <c r="C128" s="124">
        <v>44893</v>
      </c>
      <c r="D128" s="58"/>
      <c r="E128" s="58"/>
      <c r="F128" s="58"/>
      <c r="G128" s="58"/>
      <c r="H128" s="58"/>
      <c r="I128" s="58"/>
      <c r="J128" s="58">
        <f t="shared" si="5"/>
        <v>0</v>
      </c>
      <c r="K128" s="58">
        <f t="shared" si="6"/>
        <v>0</v>
      </c>
      <c r="L128" s="58">
        <f t="shared" si="7"/>
        <v>0</v>
      </c>
      <c r="M128" s="58">
        <f t="shared" si="8"/>
        <v>0</v>
      </c>
      <c r="N128" s="58"/>
    </row>
    <row r="129" spans="1:14" x14ac:dyDescent="0.25">
      <c r="A129" s="91" t="s">
        <v>489</v>
      </c>
      <c r="B129" s="91" t="s">
        <v>486</v>
      </c>
      <c r="C129" s="124">
        <v>44893</v>
      </c>
      <c r="D129" s="58"/>
      <c r="E129" s="58"/>
      <c r="F129" s="58"/>
      <c r="G129" s="58"/>
      <c r="H129" s="58"/>
      <c r="I129" s="58"/>
      <c r="J129" s="58">
        <f t="shared" ref="J129:J168" si="9">E129-D129</f>
        <v>0</v>
      </c>
      <c r="K129" s="58">
        <f t="shared" ref="K129:K148" si="10">G129-F129</f>
        <v>0</v>
      </c>
      <c r="L129" s="58">
        <f t="shared" ref="L129:L148" si="11">I129-H129</f>
        <v>0</v>
      </c>
      <c r="M129" s="58">
        <f t="shared" ref="M129:M148" si="12">J129+K129+L129</f>
        <v>0</v>
      </c>
      <c r="N129" s="58"/>
    </row>
    <row r="130" spans="1:14" x14ac:dyDescent="0.25">
      <c r="A130" s="91" t="s">
        <v>607</v>
      </c>
      <c r="B130" s="91" t="s">
        <v>602</v>
      </c>
      <c r="C130" s="44">
        <v>44893</v>
      </c>
      <c r="D130" s="103">
        <v>45425</v>
      </c>
      <c r="E130" s="103">
        <v>45466</v>
      </c>
      <c r="F130" s="58"/>
      <c r="G130" s="58"/>
      <c r="H130" s="58"/>
      <c r="I130" s="58"/>
      <c r="J130" s="58">
        <f t="shared" si="9"/>
        <v>41</v>
      </c>
      <c r="K130" s="58">
        <f t="shared" si="10"/>
        <v>0</v>
      </c>
      <c r="L130" s="58">
        <f t="shared" si="11"/>
        <v>0</v>
      </c>
      <c r="M130" s="58">
        <f t="shared" si="12"/>
        <v>41</v>
      </c>
      <c r="N130" s="58"/>
    </row>
    <row r="131" spans="1:14" x14ac:dyDescent="0.25">
      <c r="A131" s="91" t="s">
        <v>608</v>
      </c>
      <c r="B131" s="91" t="s">
        <v>603</v>
      </c>
      <c r="C131" s="44">
        <v>44900</v>
      </c>
      <c r="D131" s="103">
        <v>45410</v>
      </c>
      <c r="E131" s="103">
        <v>45424</v>
      </c>
      <c r="F131" s="58"/>
      <c r="G131" s="58"/>
      <c r="H131" s="58"/>
      <c r="I131" s="58"/>
      <c r="J131" s="58">
        <f t="shared" si="9"/>
        <v>14</v>
      </c>
      <c r="K131" s="58">
        <f t="shared" si="10"/>
        <v>0</v>
      </c>
      <c r="L131" s="58">
        <f t="shared" si="11"/>
        <v>0</v>
      </c>
      <c r="M131" s="58">
        <f t="shared" si="12"/>
        <v>14</v>
      </c>
      <c r="N131" s="58"/>
    </row>
    <row r="132" spans="1:14" x14ac:dyDescent="0.25">
      <c r="A132" s="91" t="s">
        <v>609</v>
      </c>
      <c r="B132" s="91" t="s">
        <v>604</v>
      </c>
      <c r="C132" s="44">
        <v>44900</v>
      </c>
      <c r="D132" s="103"/>
      <c r="E132" s="103"/>
      <c r="F132" s="58"/>
      <c r="G132" s="58"/>
      <c r="H132" s="58"/>
      <c r="I132" s="58"/>
      <c r="J132" s="58">
        <f t="shared" si="9"/>
        <v>0</v>
      </c>
      <c r="K132" s="58">
        <f t="shared" si="10"/>
        <v>0</v>
      </c>
      <c r="L132" s="58">
        <f t="shared" si="11"/>
        <v>0</v>
      </c>
      <c r="M132" s="58">
        <f t="shared" si="12"/>
        <v>0</v>
      </c>
      <c r="N132" s="58"/>
    </row>
    <row r="133" spans="1:14" x14ac:dyDescent="0.25">
      <c r="A133" s="91" t="s">
        <v>610</v>
      </c>
      <c r="B133" s="91" t="s">
        <v>605</v>
      </c>
      <c r="C133" s="44">
        <v>44900</v>
      </c>
      <c r="D133" s="103">
        <v>45462</v>
      </c>
      <c r="E133" s="103">
        <v>45489</v>
      </c>
      <c r="F133" s="58"/>
      <c r="G133" s="58"/>
      <c r="H133" s="58"/>
      <c r="I133" s="58"/>
      <c r="J133" s="58">
        <f t="shared" si="9"/>
        <v>27</v>
      </c>
      <c r="K133" s="58">
        <f t="shared" si="10"/>
        <v>0</v>
      </c>
      <c r="L133" s="58">
        <f t="shared" si="11"/>
        <v>0</v>
      </c>
      <c r="M133" s="58">
        <f t="shared" si="12"/>
        <v>27</v>
      </c>
      <c r="N133" s="58"/>
    </row>
    <row r="134" spans="1:14" x14ac:dyDescent="0.25">
      <c r="A134" s="91" t="s">
        <v>611</v>
      </c>
      <c r="B134" s="91" t="s">
        <v>606</v>
      </c>
      <c r="C134" s="44">
        <v>44938</v>
      </c>
      <c r="D134" s="103">
        <v>45604</v>
      </c>
      <c r="E134" s="103">
        <v>45657</v>
      </c>
      <c r="F134" s="58"/>
      <c r="G134" s="58"/>
      <c r="H134" s="58"/>
      <c r="I134" s="58"/>
      <c r="J134" s="58">
        <f t="shared" si="9"/>
        <v>53</v>
      </c>
      <c r="K134" s="58">
        <f t="shared" si="10"/>
        <v>0</v>
      </c>
      <c r="L134" s="58">
        <f t="shared" si="11"/>
        <v>0</v>
      </c>
      <c r="M134" s="58">
        <f t="shared" si="12"/>
        <v>53</v>
      </c>
      <c r="N134" s="58"/>
    </row>
    <row r="135" spans="1:14" x14ac:dyDescent="0.25">
      <c r="A135" s="91" t="s">
        <v>613</v>
      </c>
      <c r="B135" s="91" t="s">
        <v>612</v>
      </c>
      <c r="C135" s="124">
        <v>44957</v>
      </c>
      <c r="D135" s="58"/>
      <c r="E135" s="58"/>
      <c r="F135" s="58"/>
      <c r="G135" s="58"/>
      <c r="H135" s="58"/>
      <c r="I135" s="58"/>
      <c r="J135" s="58">
        <f t="shared" si="9"/>
        <v>0</v>
      </c>
      <c r="K135" s="58">
        <f t="shared" si="10"/>
        <v>0</v>
      </c>
      <c r="L135" s="58">
        <f t="shared" si="11"/>
        <v>0</v>
      </c>
      <c r="M135" s="58">
        <f t="shared" si="12"/>
        <v>0</v>
      </c>
      <c r="N135" s="58"/>
    </row>
    <row r="136" spans="1:14" x14ac:dyDescent="0.25">
      <c r="A136" s="91" t="s">
        <v>624</v>
      </c>
      <c r="B136" s="91" t="s">
        <v>615</v>
      </c>
      <c r="C136" s="44">
        <v>44967</v>
      </c>
      <c r="D136" s="103">
        <v>45569</v>
      </c>
      <c r="E136" s="103">
        <v>45588</v>
      </c>
      <c r="F136" s="58"/>
      <c r="G136" s="58"/>
      <c r="H136" s="58"/>
      <c r="I136" s="58"/>
      <c r="J136" s="58">
        <f t="shared" si="9"/>
        <v>19</v>
      </c>
      <c r="K136" s="58">
        <f t="shared" si="10"/>
        <v>0</v>
      </c>
      <c r="L136" s="58">
        <f t="shared" si="11"/>
        <v>0</v>
      </c>
      <c r="M136" s="58">
        <f t="shared" si="12"/>
        <v>19</v>
      </c>
      <c r="N136" s="58"/>
    </row>
    <row r="137" spans="1:14" x14ac:dyDescent="0.25">
      <c r="A137" s="91" t="s">
        <v>625</v>
      </c>
      <c r="B137" s="91" t="s">
        <v>616</v>
      </c>
      <c r="C137" s="44">
        <v>45002</v>
      </c>
      <c r="D137" s="58"/>
      <c r="E137" s="58"/>
      <c r="F137" s="58"/>
      <c r="G137" s="58"/>
      <c r="H137" s="58"/>
      <c r="I137" s="58"/>
      <c r="J137" s="58">
        <f t="shared" si="9"/>
        <v>0</v>
      </c>
      <c r="K137" s="58">
        <f t="shared" si="10"/>
        <v>0</v>
      </c>
      <c r="L137" s="58">
        <f t="shared" si="11"/>
        <v>0</v>
      </c>
      <c r="M137" s="58">
        <f t="shared" si="12"/>
        <v>0</v>
      </c>
      <c r="N137" s="58"/>
    </row>
    <row r="138" spans="1:14" x14ac:dyDescent="0.25">
      <c r="A138" s="91" t="s">
        <v>626</v>
      </c>
      <c r="B138" s="91" t="s">
        <v>617</v>
      </c>
      <c r="C138" s="44">
        <v>45024</v>
      </c>
      <c r="D138" s="103"/>
      <c r="E138" s="103"/>
      <c r="F138" s="58"/>
      <c r="G138" s="58"/>
      <c r="H138" s="58"/>
      <c r="I138" s="58"/>
      <c r="J138" s="58">
        <f t="shared" si="9"/>
        <v>0</v>
      </c>
      <c r="K138" s="58">
        <f t="shared" si="10"/>
        <v>0</v>
      </c>
      <c r="L138" s="58">
        <f t="shared" si="11"/>
        <v>0</v>
      </c>
      <c r="M138" s="58">
        <f t="shared" si="12"/>
        <v>0</v>
      </c>
      <c r="N138" s="58"/>
    </row>
    <row r="139" spans="1:14" x14ac:dyDescent="0.25">
      <c r="A139" s="91" t="s">
        <v>627</v>
      </c>
      <c r="B139" s="91" t="s">
        <v>618</v>
      </c>
      <c r="C139" s="44">
        <v>45031</v>
      </c>
      <c r="D139" s="103">
        <v>45335</v>
      </c>
      <c r="E139" s="103">
        <v>45376</v>
      </c>
      <c r="F139" s="58"/>
      <c r="G139" s="58"/>
      <c r="H139" s="58"/>
      <c r="I139" s="58"/>
      <c r="J139" s="58">
        <f t="shared" si="9"/>
        <v>41</v>
      </c>
      <c r="K139" s="58">
        <f t="shared" si="10"/>
        <v>0</v>
      </c>
      <c r="L139" s="58">
        <f t="shared" si="11"/>
        <v>0</v>
      </c>
      <c r="M139" s="58">
        <f t="shared" si="12"/>
        <v>41</v>
      </c>
      <c r="N139" s="58"/>
    </row>
    <row r="140" spans="1:14" x14ac:dyDescent="0.25">
      <c r="A140" s="91" t="s">
        <v>628</v>
      </c>
      <c r="B140" s="91" t="s">
        <v>619</v>
      </c>
      <c r="C140" s="44">
        <v>45045</v>
      </c>
      <c r="D140" s="103"/>
      <c r="E140" s="103"/>
      <c r="F140" s="58"/>
      <c r="G140" s="58"/>
      <c r="H140" s="58"/>
      <c r="I140" s="58"/>
      <c r="J140" s="58">
        <f t="shared" si="9"/>
        <v>0</v>
      </c>
      <c r="K140" s="58">
        <f t="shared" si="10"/>
        <v>0</v>
      </c>
      <c r="L140" s="58">
        <f t="shared" si="11"/>
        <v>0</v>
      </c>
      <c r="M140" s="58">
        <f t="shared" si="12"/>
        <v>0</v>
      </c>
      <c r="N140" s="58"/>
    </row>
    <row r="141" spans="1:14" x14ac:dyDescent="0.25">
      <c r="A141" s="91" t="s">
        <v>629</v>
      </c>
      <c r="B141" s="91" t="s">
        <v>620</v>
      </c>
      <c r="C141" s="44">
        <v>45068</v>
      </c>
      <c r="D141" s="103">
        <v>45466</v>
      </c>
      <c r="E141" s="103">
        <v>45480</v>
      </c>
      <c r="F141" s="58"/>
      <c r="G141" s="58"/>
      <c r="H141" s="58"/>
      <c r="I141" s="58"/>
      <c r="J141" s="58">
        <f t="shared" si="9"/>
        <v>14</v>
      </c>
      <c r="K141" s="58">
        <f t="shared" si="10"/>
        <v>0</v>
      </c>
      <c r="L141" s="58">
        <f t="shared" si="11"/>
        <v>0</v>
      </c>
      <c r="M141" s="58">
        <f t="shared" si="12"/>
        <v>14</v>
      </c>
      <c r="N141" s="58"/>
    </row>
    <row r="142" spans="1:14" x14ac:dyDescent="0.25">
      <c r="A142" s="91" t="s">
        <v>630</v>
      </c>
      <c r="B142" s="91" t="s">
        <v>621</v>
      </c>
      <c r="C142" s="44">
        <v>45054</v>
      </c>
      <c r="D142" s="58"/>
      <c r="E142" s="58"/>
      <c r="F142" s="58"/>
      <c r="G142" s="58"/>
      <c r="H142" s="58"/>
      <c r="I142" s="58"/>
      <c r="J142" s="58">
        <f t="shared" si="9"/>
        <v>0</v>
      </c>
      <c r="K142" s="58">
        <f t="shared" si="10"/>
        <v>0</v>
      </c>
      <c r="L142" s="58">
        <f t="shared" si="11"/>
        <v>0</v>
      </c>
      <c r="M142" s="58">
        <f t="shared" si="12"/>
        <v>0</v>
      </c>
      <c r="N142" s="58"/>
    </row>
    <row r="143" spans="1:14" x14ac:dyDescent="0.25">
      <c r="A143" s="91" t="s">
        <v>631</v>
      </c>
      <c r="B143" s="91" t="s">
        <v>622</v>
      </c>
      <c r="C143" s="44">
        <v>45104</v>
      </c>
      <c r="D143" s="58"/>
      <c r="E143" s="58"/>
      <c r="F143" s="58"/>
      <c r="G143" s="58"/>
      <c r="H143" s="58"/>
      <c r="I143" s="58"/>
      <c r="J143" s="58">
        <f t="shared" si="9"/>
        <v>0</v>
      </c>
      <c r="K143" s="58">
        <f t="shared" si="10"/>
        <v>0</v>
      </c>
      <c r="L143" s="58">
        <f t="shared" si="11"/>
        <v>0</v>
      </c>
      <c r="M143" s="58">
        <f t="shared" si="12"/>
        <v>0</v>
      </c>
      <c r="N143" s="58"/>
    </row>
    <row r="144" spans="1:14" x14ac:dyDescent="0.25">
      <c r="A144" s="91" t="s">
        <v>632</v>
      </c>
      <c r="B144" s="91" t="s">
        <v>623</v>
      </c>
      <c r="C144" s="44">
        <v>45105</v>
      </c>
      <c r="D144" s="103">
        <v>45360</v>
      </c>
      <c r="E144" s="103">
        <v>45393</v>
      </c>
      <c r="F144" s="58"/>
      <c r="G144" s="58"/>
      <c r="H144" s="58"/>
      <c r="I144" s="58"/>
      <c r="J144" s="58">
        <f t="shared" si="9"/>
        <v>33</v>
      </c>
      <c r="K144" s="58">
        <f t="shared" si="10"/>
        <v>0</v>
      </c>
      <c r="L144" s="58">
        <f t="shared" si="11"/>
        <v>0</v>
      </c>
      <c r="M144" s="58">
        <f t="shared" si="12"/>
        <v>33</v>
      </c>
      <c r="N144" s="58"/>
    </row>
    <row r="145" spans="1:14" x14ac:dyDescent="0.25">
      <c r="A145" s="91" t="s">
        <v>641</v>
      </c>
      <c r="B145" s="91" t="s">
        <v>636</v>
      </c>
      <c r="C145" s="44">
        <v>45114</v>
      </c>
      <c r="D145" s="109"/>
      <c r="E145" s="58"/>
      <c r="F145" s="58"/>
      <c r="G145" s="58"/>
      <c r="H145" s="58"/>
      <c r="I145" s="58"/>
      <c r="J145" s="58">
        <f t="shared" si="9"/>
        <v>0</v>
      </c>
      <c r="K145" s="58">
        <f t="shared" si="10"/>
        <v>0</v>
      </c>
      <c r="L145" s="58">
        <f t="shared" si="11"/>
        <v>0</v>
      </c>
      <c r="M145" s="58">
        <f t="shared" si="12"/>
        <v>0</v>
      </c>
      <c r="N145" s="58"/>
    </row>
    <row r="146" spans="1:14" x14ac:dyDescent="0.25">
      <c r="A146" s="91" t="s">
        <v>642</v>
      </c>
      <c r="B146" s="91" t="s">
        <v>637</v>
      </c>
      <c r="C146" s="44">
        <v>45156</v>
      </c>
      <c r="D146" s="109"/>
      <c r="E146" s="58"/>
      <c r="F146" s="58"/>
      <c r="G146" s="58"/>
      <c r="H146" s="58"/>
      <c r="I146" s="58"/>
      <c r="J146" s="58">
        <f t="shared" si="9"/>
        <v>0</v>
      </c>
      <c r="K146" s="58">
        <f t="shared" si="10"/>
        <v>0</v>
      </c>
      <c r="L146" s="58">
        <f t="shared" si="11"/>
        <v>0</v>
      </c>
      <c r="M146" s="58">
        <f t="shared" si="12"/>
        <v>0</v>
      </c>
      <c r="N146" s="58"/>
    </row>
    <row r="147" spans="1:14" x14ac:dyDescent="0.25">
      <c r="A147" s="91" t="s">
        <v>643</v>
      </c>
      <c r="B147" s="91" t="s">
        <v>638</v>
      </c>
      <c r="C147" s="44">
        <v>45155</v>
      </c>
      <c r="D147" s="109"/>
      <c r="E147" s="58"/>
      <c r="F147" s="58"/>
      <c r="G147" s="58"/>
      <c r="H147" s="58"/>
      <c r="I147" s="58"/>
      <c r="J147" s="58">
        <f t="shared" si="9"/>
        <v>0</v>
      </c>
      <c r="K147" s="58">
        <f t="shared" si="10"/>
        <v>0</v>
      </c>
      <c r="L147" s="58">
        <f t="shared" si="11"/>
        <v>0</v>
      </c>
      <c r="M147" s="58">
        <f t="shared" si="12"/>
        <v>0</v>
      </c>
      <c r="N147" s="58"/>
    </row>
    <row r="148" spans="1:14" x14ac:dyDescent="0.25">
      <c r="A148" s="91" t="s">
        <v>644</v>
      </c>
      <c r="B148" s="91" t="s">
        <v>639</v>
      </c>
      <c r="C148" s="44">
        <v>45159</v>
      </c>
      <c r="D148" s="109"/>
      <c r="E148" s="58"/>
      <c r="F148" s="58"/>
      <c r="G148" s="58"/>
      <c r="H148" s="58"/>
      <c r="I148" s="58"/>
      <c r="J148" s="58">
        <f t="shared" si="9"/>
        <v>0</v>
      </c>
      <c r="K148" s="58">
        <f t="shared" si="10"/>
        <v>0</v>
      </c>
      <c r="L148" s="58">
        <f t="shared" si="11"/>
        <v>0</v>
      </c>
      <c r="M148" s="58">
        <f t="shared" si="12"/>
        <v>0</v>
      </c>
      <c r="N148" s="58"/>
    </row>
    <row r="149" spans="1:14" x14ac:dyDescent="0.25">
      <c r="A149" s="91" t="s">
        <v>647</v>
      </c>
      <c r="B149" s="91" t="s">
        <v>645</v>
      </c>
      <c r="C149" s="44">
        <v>45201</v>
      </c>
      <c r="D149" s="58"/>
      <c r="E149" s="58"/>
      <c r="F149" s="58"/>
      <c r="G149" s="58"/>
      <c r="H149" s="58"/>
      <c r="I149" s="58"/>
      <c r="J149" s="58">
        <f t="shared" si="9"/>
        <v>0</v>
      </c>
      <c r="K149" s="58">
        <f t="shared" ref="K149:K163" si="13">G149-F149</f>
        <v>0</v>
      </c>
      <c r="L149" s="58">
        <f t="shared" ref="L149:L163" si="14">I149-H149</f>
        <v>0</v>
      </c>
      <c r="M149" s="58">
        <f t="shared" ref="M149:M163" si="15">J149+K149+L149</f>
        <v>0</v>
      </c>
      <c r="N149" s="58"/>
    </row>
    <row r="150" spans="1:14" x14ac:dyDescent="0.25">
      <c r="A150" s="91" t="s">
        <v>648</v>
      </c>
      <c r="B150" s="91" t="s">
        <v>646</v>
      </c>
      <c r="C150" s="44">
        <v>45224</v>
      </c>
      <c r="D150" s="58"/>
      <c r="E150" s="58"/>
      <c r="F150" s="58"/>
      <c r="G150" s="58"/>
      <c r="H150" s="58"/>
      <c r="I150" s="58"/>
      <c r="J150" s="58">
        <f t="shared" si="9"/>
        <v>0</v>
      </c>
      <c r="K150" s="58">
        <f t="shared" si="13"/>
        <v>0</v>
      </c>
      <c r="L150" s="58">
        <f t="shared" si="14"/>
        <v>0</v>
      </c>
      <c r="M150" s="58">
        <f t="shared" si="15"/>
        <v>0</v>
      </c>
      <c r="N150" s="58"/>
    </row>
    <row r="151" spans="1:14" x14ac:dyDescent="0.25">
      <c r="A151" s="91" t="s">
        <v>662</v>
      </c>
      <c r="B151" s="91" t="s">
        <v>649</v>
      </c>
      <c r="C151" s="44">
        <v>45253</v>
      </c>
      <c r="D151" s="58"/>
      <c r="E151" s="58"/>
      <c r="F151" s="58"/>
      <c r="G151" s="58"/>
      <c r="H151" s="58"/>
      <c r="I151" s="58"/>
      <c r="J151" s="58">
        <f t="shared" si="9"/>
        <v>0</v>
      </c>
      <c r="K151" s="58">
        <f t="shared" si="13"/>
        <v>0</v>
      </c>
      <c r="L151" s="58">
        <f t="shared" si="14"/>
        <v>0</v>
      </c>
      <c r="M151" s="58">
        <f t="shared" si="15"/>
        <v>0</v>
      </c>
      <c r="N151" s="58"/>
    </row>
    <row r="152" spans="1:14" x14ac:dyDescent="0.25">
      <c r="A152" s="91" t="s">
        <v>663</v>
      </c>
      <c r="B152" s="91" t="s">
        <v>650</v>
      </c>
      <c r="C152" s="44">
        <v>45261</v>
      </c>
      <c r="D152" s="58"/>
      <c r="E152" s="58"/>
      <c r="F152" s="58"/>
      <c r="G152" s="58"/>
      <c r="H152" s="58"/>
      <c r="I152" s="58"/>
      <c r="J152" s="58">
        <f t="shared" si="9"/>
        <v>0</v>
      </c>
      <c r="K152" s="58">
        <f t="shared" si="13"/>
        <v>0</v>
      </c>
      <c r="L152" s="58">
        <f t="shared" si="14"/>
        <v>0</v>
      </c>
      <c r="M152" s="58">
        <f t="shared" si="15"/>
        <v>0</v>
      </c>
      <c r="N152" s="58"/>
    </row>
    <row r="153" spans="1:14" x14ac:dyDescent="0.25">
      <c r="A153" s="91" t="s">
        <v>664</v>
      </c>
      <c r="B153" s="91" t="s">
        <v>651</v>
      </c>
      <c r="C153" s="44">
        <v>45261</v>
      </c>
      <c r="D153" s="58"/>
      <c r="E153" s="58"/>
      <c r="F153" s="58"/>
      <c r="G153" s="58"/>
      <c r="H153" s="58"/>
      <c r="I153" s="58"/>
      <c r="J153" s="58">
        <f t="shared" si="9"/>
        <v>0</v>
      </c>
      <c r="K153" s="58">
        <f t="shared" si="13"/>
        <v>0</v>
      </c>
      <c r="L153" s="58">
        <f t="shared" si="14"/>
        <v>0</v>
      </c>
      <c r="M153" s="58">
        <f t="shared" si="15"/>
        <v>0</v>
      </c>
      <c r="N153" s="58"/>
    </row>
    <row r="154" spans="1:14" x14ac:dyDescent="0.25">
      <c r="A154" s="91" t="s">
        <v>665</v>
      </c>
      <c r="B154" s="91" t="s">
        <v>652</v>
      </c>
      <c r="C154" s="44">
        <v>45280</v>
      </c>
      <c r="D154" s="58"/>
      <c r="E154" s="58"/>
      <c r="F154" s="58"/>
      <c r="G154" s="58"/>
      <c r="H154" s="58"/>
      <c r="I154" s="58"/>
      <c r="J154" s="58">
        <f t="shared" si="9"/>
        <v>0</v>
      </c>
      <c r="K154" s="58">
        <f t="shared" si="13"/>
        <v>0</v>
      </c>
      <c r="L154" s="58">
        <f t="shared" si="14"/>
        <v>0</v>
      </c>
      <c r="M154" s="58">
        <f t="shared" si="15"/>
        <v>0</v>
      </c>
      <c r="N154" s="58"/>
    </row>
    <row r="155" spans="1:14" x14ac:dyDescent="0.25">
      <c r="A155" s="91" t="s">
        <v>666</v>
      </c>
      <c r="B155" s="91" t="s">
        <v>653</v>
      </c>
      <c r="C155" s="44">
        <v>45301</v>
      </c>
      <c r="D155" s="58"/>
      <c r="E155" s="58"/>
      <c r="F155" s="58"/>
      <c r="G155" s="58"/>
      <c r="H155" s="58"/>
      <c r="I155" s="58"/>
      <c r="J155" s="58">
        <f t="shared" si="9"/>
        <v>0</v>
      </c>
      <c r="K155" s="58">
        <f t="shared" si="13"/>
        <v>0</v>
      </c>
      <c r="L155" s="58">
        <f t="shared" si="14"/>
        <v>0</v>
      </c>
      <c r="M155" s="58">
        <f t="shared" si="15"/>
        <v>0</v>
      </c>
      <c r="N155" s="58"/>
    </row>
    <row r="156" spans="1:14" x14ac:dyDescent="0.25">
      <c r="A156" s="91" t="s">
        <v>667</v>
      </c>
      <c r="B156" s="91" t="s">
        <v>654</v>
      </c>
      <c r="C156" s="44">
        <v>45324</v>
      </c>
      <c r="D156" s="103"/>
      <c r="E156" s="58"/>
      <c r="F156" s="58"/>
      <c r="G156" s="58"/>
      <c r="H156" s="58"/>
      <c r="I156" s="58"/>
      <c r="J156" s="58">
        <f t="shared" si="9"/>
        <v>0</v>
      </c>
      <c r="K156" s="58">
        <f t="shared" si="13"/>
        <v>0</v>
      </c>
      <c r="L156" s="58">
        <f t="shared" si="14"/>
        <v>0</v>
      </c>
      <c r="M156" s="58">
        <f t="shared" si="15"/>
        <v>0</v>
      </c>
      <c r="N156" s="58"/>
    </row>
    <row r="157" spans="1:14" x14ac:dyDescent="0.25">
      <c r="A157" s="91" t="s">
        <v>668</v>
      </c>
      <c r="B157" s="91" t="s">
        <v>655</v>
      </c>
      <c r="C157" s="44">
        <v>45325</v>
      </c>
      <c r="D157" s="58"/>
      <c r="E157" s="58"/>
      <c r="F157" s="58"/>
      <c r="G157" s="58"/>
      <c r="H157" s="58"/>
      <c r="I157" s="58"/>
      <c r="J157" s="58">
        <f t="shared" si="9"/>
        <v>0</v>
      </c>
      <c r="K157" s="58">
        <f t="shared" si="13"/>
        <v>0</v>
      </c>
      <c r="L157" s="58">
        <f t="shared" si="14"/>
        <v>0</v>
      </c>
      <c r="M157" s="58">
        <f t="shared" si="15"/>
        <v>0</v>
      </c>
      <c r="N157" s="58"/>
    </row>
    <row r="158" spans="1:14" x14ac:dyDescent="0.25">
      <c r="A158" s="91" t="s">
        <v>669</v>
      </c>
      <c r="B158" s="91" t="s">
        <v>656</v>
      </c>
      <c r="C158" s="44">
        <v>45330</v>
      </c>
      <c r="D158" s="58"/>
      <c r="E158" s="58"/>
      <c r="F158" s="58"/>
      <c r="G158" s="58"/>
      <c r="H158" s="58"/>
      <c r="I158" s="58"/>
      <c r="J158" s="58">
        <f t="shared" si="9"/>
        <v>0</v>
      </c>
      <c r="K158" s="58">
        <f t="shared" si="13"/>
        <v>0</v>
      </c>
      <c r="L158" s="58">
        <f t="shared" si="14"/>
        <v>0</v>
      </c>
      <c r="M158" s="58">
        <f t="shared" si="15"/>
        <v>0</v>
      </c>
      <c r="N158" s="58"/>
    </row>
    <row r="159" spans="1:14" x14ac:dyDescent="0.25">
      <c r="A159" s="91" t="s">
        <v>670</v>
      </c>
      <c r="B159" s="91" t="s">
        <v>657</v>
      </c>
      <c r="C159" s="44">
        <v>45357</v>
      </c>
      <c r="D159" s="58"/>
      <c r="E159" s="58"/>
      <c r="F159" s="58"/>
      <c r="G159" s="58"/>
      <c r="H159" s="58"/>
      <c r="I159" s="58"/>
      <c r="J159" s="58">
        <f t="shared" si="9"/>
        <v>0</v>
      </c>
      <c r="K159" s="58">
        <f t="shared" si="13"/>
        <v>0</v>
      </c>
      <c r="L159" s="58">
        <f t="shared" si="14"/>
        <v>0</v>
      </c>
      <c r="M159" s="58">
        <f t="shared" si="15"/>
        <v>0</v>
      </c>
      <c r="N159" s="58"/>
    </row>
    <row r="160" spans="1:14" x14ac:dyDescent="0.25">
      <c r="A160" s="91" t="s">
        <v>671</v>
      </c>
      <c r="B160" s="91" t="s">
        <v>658</v>
      </c>
      <c r="C160" s="44">
        <v>45360</v>
      </c>
      <c r="D160" s="58"/>
      <c r="E160" s="58"/>
      <c r="F160" s="58"/>
      <c r="G160" s="58"/>
      <c r="H160" s="58"/>
      <c r="I160" s="58"/>
      <c r="J160" s="58">
        <f t="shared" si="9"/>
        <v>0</v>
      </c>
      <c r="K160" s="58">
        <f t="shared" si="13"/>
        <v>0</v>
      </c>
      <c r="L160" s="58">
        <f t="shared" si="14"/>
        <v>0</v>
      </c>
      <c r="M160" s="58">
        <f t="shared" si="15"/>
        <v>0</v>
      </c>
      <c r="N160" s="58"/>
    </row>
    <row r="161" spans="1:30" x14ac:dyDescent="0.25">
      <c r="A161" s="91" t="s">
        <v>672</v>
      </c>
      <c r="B161" s="91" t="s">
        <v>659</v>
      </c>
      <c r="C161" s="44">
        <v>45362</v>
      </c>
      <c r="D161" s="58"/>
      <c r="E161" s="58"/>
      <c r="F161" s="58"/>
      <c r="G161" s="58"/>
      <c r="H161" s="58"/>
      <c r="I161" s="58"/>
      <c r="J161" s="58">
        <f t="shared" si="9"/>
        <v>0</v>
      </c>
      <c r="K161" s="58">
        <f t="shared" si="13"/>
        <v>0</v>
      </c>
      <c r="L161" s="58">
        <f t="shared" si="14"/>
        <v>0</v>
      </c>
      <c r="M161" s="58">
        <f>J161+K161+L161</f>
        <v>0</v>
      </c>
      <c r="N161" s="58"/>
    </row>
    <row r="162" spans="1:30" x14ac:dyDescent="0.25">
      <c r="A162" s="91" t="s">
        <v>673</v>
      </c>
      <c r="B162" s="91" t="s">
        <v>660</v>
      </c>
      <c r="C162" s="44">
        <v>45364</v>
      </c>
      <c r="D162" s="58"/>
      <c r="E162" s="58"/>
      <c r="F162" s="58"/>
      <c r="G162" s="58"/>
      <c r="H162" s="58"/>
      <c r="I162" s="58"/>
      <c r="J162" s="58">
        <f t="shared" si="9"/>
        <v>0</v>
      </c>
      <c r="K162" s="58">
        <f t="shared" si="13"/>
        <v>0</v>
      </c>
      <c r="L162" s="58">
        <f t="shared" si="14"/>
        <v>0</v>
      </c>
      <c r="M162" s="58">
        <f t="shared" si="15"/>
        <v>0</v>
      </c>
      <c r="N162" s="58"/>
    </row>
    <row r="163" spans="1:30" x14ac:dyDescent="0.25">
      <c r="A163" s="91" t="s">
        <v>674</v>
      </c>
      <c r="B163" s="91" t="s">
        <v>661</v>
      </c>
      <c r="C163" s="44">
        <v>45371</v>
      </c>
      <c r="D163" s="58"/>
      <c r="E163" s="58"/>
      <c r="F163" s="58"/>
      <c r="G163" s="58"/>
      <c r="H163" s="58"/>
      <c r="I163" s="58"/>
      <c r="J163" s="58">
        <f t="shared" si="9"/>
        <v>0</v>
      </c>
      <c r="K163" s="58">
        <f t="shared" si="13"/>
        <v>0</v>
      </c>
      <c r="L163" s="58">
        <f t="shared" si="14"/>
        <v>0</v>
      </c>
      <c r="M163" s="58">
        <f t="shared" si="15"/>
        <v>0</v>
      </c>
      <c r="N163" s="58"/>
    </row>
    <row r="164" spans="1:30" x14ac:dyDescent="0.25">
      <c r="A164" s="91" t="s">
        <v>681</v>
      </c>
      <c r="B164" s="91" t="s">
        <v>677</v>
      </c>
      <c r="C164" s="44">
        <v>45432</v>
      </c>
      <c r="D164" s="109"/>
      <c r="E164" s="58"/>
      <c r="F164" s="58"/>
      <c r="G164" s="58"/>
      <c r="H164" s="58"/>
      <c r="I164" s="58"/>
      <c r="J164" s="58">
        <f t="shared" si="9"/>
        <v>0</v>
      </c>
      <c r="K164" s="58">
        <f t="shared" ref="K164:K168" si="16">G164-F164</f>
        <v>0</v>
      </c>
      <c r="L164" s="58">
        <f t="shared" ref="L164:L168" si="17">I164-H164</f>
        <v>0</v>
      </c>
      <c r="M164" s="58">
        <f>J164+K164+L164</f>
        <v>0</v>
      </c>
      <c r="N164" s="22"/>
    </row>
    <row r="165" spans="1:30" x14ac:dyDescent="0.25">
      <c r="A165" s="91" t="s">
        <v>682</v>
      </c>
      <c r="B165" s="91" t="s">
        <v>678</v>
      </c>
      <c r="C165" s="44">
        <v>45434</v>
      </c>
      <c r="D165" s="109"/>
      <c r="E165" s="58"/>
      <c r="F165" s="58"/>
      <c r="G165" s="58"/>
      <c r="H165" s="58"/>
      <c r="I165" s="58"/>
      <c r="J165" s="58">
        <f t="shared" si="9"/>
        <v>0</v>
      </c>
      <c r="K165" s="58">
        <f t="shared" si="16"/>
        <v>0</v>
      </c>
      <c r="L165" s="58">
        <f t="shared" si="17"/>
        <v>0</v>
      </c>
      <c r="M165" s="58">
        <f t="shared" ref="M165:M168" si="18">J165+K165+L165</f>
        <v>0</v>
      </c>
      <c r="N165" s="22"/>
    </row>
    <row r="166" spans="1:30" x14ac:dyDescent="0.25">
      <c r="A166" s="91" t="s">
        <v>683</v>
      </c>
      <c r="B166" s="91" t="s">
        <v>679</v>
      </c>
      <c r="C166" s="44">
        <v>45421</v>
      </c>
      <c r="D166" s="109"/>
      <c r="E166" s="58"/>
      <c r="F166" s="58"/>
      <c r="G166" s="58"/>
      <c r="H166" s="58"/>
      <c r="I166" s="58"/>
      <c r="J166" s="58">
        <f t="shared" si="9"/>
        <v>0</v>
      </c>
      <c r="K166" s="58">
        <f t="shared" si="16"/>
        <v>0</v>
      </c>
      <c r="L166" s="58">
        <f t="shared" si="17"/>
        <v>0</v>
      </c>
      <c r="M166" s="58">
        <f t="shared" si="18"/>
        <v>0</v>
      </c>
      <c r="N166" s="22"/>
    </row>
    <row r="167" spans="1:30" x14ac:dyDescent="0.25">
      <c r="A167" s="91" t="s">
        <v>684</v>
      </c>
      <c r="B167" s="91" t="s">
        <v>680</v>
      </c>
      <c r="C167" s="44">
        <v>45432</v>
      </c>
      <c r="D167" s="109"/>
      <c r="E167" s="58"/>
      <c r="F167" s="58"/>
      <c r="G167" s="58"/>
      <c r="H167" s="58"/>
      <c r="I167" s="58"/>
      <c r="J167" s="58">
        <f t="shared" si="9"/>
        <v>0</v>
      </c>
      <c r="K167" s="58">
        <f t="shared" si="16"/>
        <v>0</v>
      </c>
      <c r="L167" s="58">
        <f t="shared" si="17"/>
        <v>0</v>
      </c>
      <c r="M167" s="58">
        <f t="shared" si="18"/>
        <v>0</v>
      </c>
      <c r="N167" s="22"/>
    </row>
    <row r="168" spans="1:30" x14ac:dyDescent="0.25">
      <c r="A168" s="91" t="s">
        <v>676</v>
      </c>
      <c r="B168" s="91" t="s">
        <v>675</v>
      </c>
      <c r="C168" s="44">
        <v>42948</v>
      </c>
      <c r="D168" s="103">
        <v>45538</v>
      </c>
      <c r="E168" s="103">
        <v>45617</v>
      </c>
      <c r="F168" s="103"/>
      <c r="G168" s="103"/>
      <c r="H168" s="103"/>
      <c r="I168" s="103"/>
      <c r="J168" s="58">
        <f t="shared" si="9"/>
        <v>79</v>
      </c>
      <c r="K168" s="58">
        <f t="shared" si="16"/>
        <v>0</v>
      </c>
      <c r="L168" s="58">
        <f t="shared" si="17"/>
        <v>0</v>
      </c>
      <c r="M168" s="58">
        <f t="shared" si="18"/>
        <v>79</v>
      </c>
      <c r="N168" s="22"/>
    </row>
    <row r="174" spans="1:30" ht="19.5" x14ac:dyDescent="0.3">
      <c r="A174" s="82"/>
      <c r="C174" s="129" t="s">
        <v>685</v>
      </c>
      <c r="D174" s="92"/>
      <c r="E174" s="92"/>
      <c r="F174" s="92"/>
      <c r="G174" s="92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</row>
    <row r="175" spans="1:30" x14ac:dyDescent="0.25">
      <c r="A175" s="82"/>
      <c r="C175" s="88"/>
      <c r="D175" s="92"/>
      <c r="E175" s="92"/>
      <c r="F175" s="92"/>
      <c r="G175" s="92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</row>
    <row r="176" spans="1:30" x14ac:dyDescent="0.25">
      <c r="A176" s="4">
        <v>4</v>
      </c>
      <c r="B176" s="91" t="s">
        <v>355</v>
      </c>
      <c r="C176" s="91" t="s">
        <v>493</v>
      </c>
      <c r="D176" s="95"/>
      <c r="E176" s="95"/>
      <c r="F176" s="74">
        <v>40695</v>
      </c>
      <c r="G176" s="74">
        <v>40695</v>
      </c>
      <c r="H176" s="102">
        <v>0</v>
      </c>
      <c r="I176" s="105">
        <v>0</v>
      </c>
      <c r="J176" s="102">
        <v>0</v>
      </c>
      <c r="K176" s="99">
        <f>'2013'!I6</f>
        <v>63</v>
      </c>
      <c r="L176" s="102">
        <f>'2014'!I7</f>
        <v>0</v>
      </c>
      <c r="M176" s="99">
        <f>'2015'!L9</f>
        <v>65</v>
      </c>
      <c r="N176" s="101">
        <f>'2016'!M10</f>
        <v>0</v>
      </c>
      <c r="O176" s="93"/>
      <c r="P176" s="101">
        <f>'2018'!M8</f>
        <v>57</v>
      </c>
      <c r="Q176" s="101">
        <f>'2019'!M7</f>
        <v>0</v>
      </c>
      <c r="R176" s="100">
        <f>'2020'!M7</f>
        <v>176</v>
      </c>
      <c r="S176" s="101">
        <f>'2021'!M6</f>
        <v>24</v>
      </c>
      <c r="T176" s="101">
        <f>'2022'!P6</f>
        <v>0</v>
      </c>
      <c r="U176" s="101">
        <f>'2023'!P5</f>
        <v>0</v>
      </c>
      <c r="V176" s="101">
        <f>'2024'!M5</f>
        <v>0</v>
      </c>
      <c r="W176" s="101"/>
      <c r="X176" s="101">
        <f t="shared" ref="X176:X201" si="19">SUM(N176:V176)</f>
        <v>257</v>
      </c>
      <c r="Y176" s="130">
        <f t="shared" ref="Y176:Y201" si="20">X176/5</f>
        <v>51.4</v>
      </c>
      <c r="Z176" s="101">
        <f t="shared" ref="Z176:Z201" si="21">(30-Y176)*AC176</f>
        <v>-278.43452054794517</v>
      </c>
      <c r="AA176" s="101">
        <f t="shared" ref="AA176:AA201" si="22">AD176-G176</f>
        <v>4749</v>
      </c>
      <c r="AB176" s="101">
        <f t="shared" ref="AB176:AB201" si="23">AA176/365</f>
        <v>13.010958904109589</v>
      </c>
      <c r="AC176" s="102">
        <f t="shared" ref="AC176:AC201" si="24">SUM(AD176-G176)/365</f>
        <v>13.010958904109589</v>
      </c>
      <c r="AD176" s="103">
        <v>45444</v>
      </c>
    </row>
    <row r="177" spans="1:30" x14ac:dyDescent="0.25">
      <c r="A177" s="4">
        <v>6</v>
      </c>
      <c r="B177" s="91" t="s">
        <v>357</v>
      </c>
      <c r="C177" s="91" t="s">
        <v>495</v>
      </c>
      <c r="D177" s="95"/>
      <c r="E177" s="95"/>
      <c r="F177" s="74">
        <v>44470</v>
      </c>
      <c r="G177" s="74">
        <v>44470</v>
      </c>
      <c r="H177" s="106"/>
      <c r="I177" s="107"/>
      <c r="J177" s="106"/>
      <c r="K177" s="106"/>
      <c r="L177" s="106"/>
      <c r="M177" s="106"/>
      <c r="N177" s="101"/>
      <c r="O177" s="93"/>
      <c r="P177" s="101"/>
      <c r="Q177" s="101"/>
      <c r="R177" s="101"/>
      <c r="S177" s="101">
        <f>'2021'!M8</f>
        <v>0</v>
      </c>
      <c r="T177" s="101">
        <f>'2022'!P8</f>
        <v>0</v>
      </c>
      <c r="U177" s="101">
        <f>'2023'!P7</f>
        <v>0</v>
      </c>
      <c r="V177" s="101">
        <f>'2024'!M7</f>
        <v>0</v>
      </c>
      <c r="W177" s="101"/>
      <c r="X177" s="101">
        <f t="shared" si="19"/>
        <v>0</v>
      </c>
      <c r="Y177" s="130">
        <f t="shared" si="20"/>
        <v>0</v>
      </c>
      <c r="Z177" s="101">
        <f t="shared" si="21"/>
        <v>80.054794520547944</v>
      </c>
      <c r="AA177" s="101">
        <f t="shared" si="22"/>
        <v>974</v>
      </c>
      <c r="AB177" s="101">
        <f t="shared" si="23"/>
        <v>2.6684931506849314</v>
      </c>
      <c r="AC177" s="102">
        <f t="shared" si="24"/>
        <v>2.6684931506849314</v>
      </c>
      <c r="AD177" s="103">
        <v>45444</v>
      </c>
    </row>
    <row r="178" spans="1:30" x14ac:dyDescent="0.25">
      <c r="A178" s="4">
        <v>45</v>
      </c>
      <c r="B178" s="91" t="s">
        <v>395</v>
      </c>
      <c r="C178" s="91" t="s">
        <v>529</v>
      </c>
      <c r="D178" s="110"/>
      <c r="E178" s="110"/>
      <c r="F178" s="74">
        <v>43556</v>
      </c>
      <c r="G178" s="74">
        <v>43556</v>
      </c>
      <c r="H178" s="108"/>
      <c r="I178" s="108"/>
      <c r="J178" s="108"/>
      <c r="K178" s="108"/>
      <c r="L178" s="108"/>
      <c r="M178" s="108"/>
      <c r="N178" s="101"/>
      <c r="O178" s="93"/>
      <c r="P178" s="101"/>
      <c r="Q178" s="101">
        <f>'2019'!M64</f>
        <v>19</v>
      </c>
      <c r="R178" s="101">
        <f>'2020'!M55</f>
        <v>6</v>
      </c>
      <c r="S178" s="100">
        <f>'2021'!M46</f>
        <v>56</v>
      </c>
      <c r="T178" s="101">
        <f>'2022'!P47</f>
        <v>0</v>
      </c>
      <c r="U178" s="100">
        <f>'2023'!P45</f>
        <v>61</v>
      </c>
      <c r="V178" s="101">
        <f>'2024'!M44</f>
        <v>0</v>
      </c>
      <c r="W178" s="101"/>
      <c r="X178" s="101">
        <f t="shared" si="19"/>
        <v>142</v>
      </c>
      <c r="Y178" s="130">
        <f t="shared" si="20"/>
        <v>28.4</v>
      </c>
      <c r="Z178" s="101">
        <f t="shared" si="21"/>
        <v>8.2761643835616514</v>
      </c>
      <c r="AA178" s="101">
        <f t="shared" si="22"/>
        <v>1888</v>
      </c>
      <c r="AB178" s="101">
        <f t="shared" si="23"/>
        <v>5.1726027397260275</v>
      </c>
      <c r="AC178" s="102">
        <f t="shared" si="24"/>
        <v>5.1726027397260275</v>
      </c>
      <c r="AD178" s="103">
        <v>45444</v>
      </c>
    </row>
    <row r="179" spans="1:30" x14ac:dyDescent="0.25">
      <c r="A179" s="4">
        <v>128</v>
      </c>
      <c r="B179" s="91" t="s">
        <v>470</v>
      </c>
      <c r="C179" s="91" t="s">
        <v>468</v>
      </c>
      <c r="D179" s="116"/>
      <c r="E179" s="116"/>
      <c r="F179" s="74">
        <v>44470</v>
      </c>
      <c r="G179" s="74">
        <v>44470</v>
      </c>
      <c r="H179" s="58"/>
      <c r="I179" s="58"/>
      <c r="J179" s="58"/>
      <c r="K179" s="58"/>
      <c r="L179" s="58"/>
      <c r="M179" s="58"/>
      <c r="N179" s="58"/>
      <c r="O179" s="93"/>
      <c r="P179" s="58"/>
      <c r="Q179" s="58"/>
      <c r="R179" s="58"/>
      <c r="S179" s="101">
        <f>'2021'!M115</f>
        <v>0</v>
      </c>
      <c r="T179" s="101">
        <f>'2022'!P129</f>
        <v>0</v>
      </c>
      <c r="U179" s="101">
        <f>'2023'!P120</f>
        <v>62</v>
      </c>
      <c r="V179" s="101">
        <f>'2024'!M117</f>
        <v>0</v>
      </c>
      <c r="W179" s="101"/>
      <c r="X179" s="101">
        <f t="shared" si="19"/>
        <v>62</v>
      </c>
      <c r="Y179" s="130">
        <f t="shared" si="20"/>
        <v>12.4</v>
      </c>
      <c r="Z179" s="101">
        <f t="shared" si="21"/>
        <v>46.965479452054794</v>
      </c>
      <c r="AA179" s="101">
        <f t="shared" si="22"/>
        <v>974</v>
      </c>
      <c r="AB179" s="101">
        <f t="shared" si="23"/>
        <v>2.6684931506849314</v>
      </c>
      <c r="AC179" s="102">
        <f t="shared" si="24"/>
        <v>2.6684931506849314</v>
      </c>
      <c r="AD179" s="103">
        <v>45444</v>
      </c>
    </row>
    <row r="180" spans="1:30" x14ac:dyDescent="0.25">
      <c r="A180" s="4">
        <v>21</v>
      </c>
      <c r="B180" s="91" t="s">
        <v>371</v>
      </c>
      <c r="C180" s="91" t="s">
        <v>508</v>
      </c>
      <c r="D180" s="95"/>
      <c r="E180" s="95"/>
      <c r="F180" s="74">
        <v>41518</v>
      </c>
      <c r="G180" s="74">
        <v>41518</v>
      </c>
      <c r="H180" s="145">
        <v>41518</v>
      </c>
      <c r="I180" s="146"/>
      <c r="J180" s="146"/>
      <c r="K180" s="102">
        <f>'2013'!I30</f>
        <v>0</v>
      </c>
      <c r="L180" s="102">
        <f>'2014'!I37</f>
        <v>17</v>
      </c>
      <c r="M180" s="102">
        <f>'2015'!L31</f>
        <v>2</v>
      </c>
      <c r="N180" s="100">
        <f>'2016'!M31</f>
        <v>61</v>
      </c>
      <c r="O180" s="93"/>
      <c r="P180" s="100">
        <f>'2018'!M29</f>
        <v>45</v>
      </c>
      <c r="Q180" s="101">
        <f>'2019'!M24</f>
        <v>0</v>
      </c>
      <c r="R180" s="100">
        <f>'2020'!M23</f>
        <v>178</v>
      </c>
      <c r="S180" s="101">
        <f>'2021'!M21</f>
        <v>0</v>
      </c>
      <c r="T180" s="100">
        <f>'2022'!P23</f>
        <v>65</v>
      </c>
      <c r="U180" s="101">
        <f>'2023'!P22</f>
        <v>0</v>
      </c>
      <c r="V180" s="101">
        <f>'2024'!M21</f>
        <v>0</v>
      </c>
      <c r="W180" s="101"/>
      <c r="X180" s="101">
        <f t="shared" si="19"/>
        <v>349</v>
      </c>
      <c r="Y180" s="130">
        <f t="shared" si="20"/>
        <v>69.8</v>
      </c>
      <c r="Z180" s="101">
        <f t="shared" si="21"/>
        <v>-428.09534246575333</v>
      </c>
      <c r="AA180" s="101">
        <f t="shared" si="22"/>
        <v>3926</v>
      </c>
      <c r="AB180" s="101">
        <f t="shared" si="23"/>
        <v>10.756164383561643</v>
      </c>
      <c r="AC180" s="102">
        <f t="shared" si="24"/>
        <v>10.756164383561643</v>
      </c>
      <c r="AD180" s="103">
        <v>45444</v>
      </c>
    </row>
    <row r="181" spans="1:30" x14ac:dyDescent="0.25">
      <c r="A181" s="4">
        <v>24</v>
      </c>
      <c r="B181" s="91" t="s">
        <v>374</v>
      </c>
      <c r="C181" s="91" t="s">
        <v>511</v>
      </c>
      <c r="D181" s="95"/>
      <c r="E181" s="95"/>
      <c r="F181" s="74">
        <v>42064</v>
      </c>
      <c r="G181" s="74">
        <v>42064</v>
      </c>
      <c r="H181" s="104">
        <v>42005</v>
      </c>
      <c r="I181" s="104"/>
      <c r="J181" s="104"/>
      <c r="K181" s="104"/>
      <c r="L181" s="104"/>
      <c r="M181" s="102">
        <f>'2015'!L46</f>
        <v>0</v>
      </c>
      <c r="N181" s="101">
        <f>'2016'!M40</f>
        <v>0</v>
      </c>
      <c r="O181" s="93"/>
      <c r="P181" s="100">
        <f>'2018'!M36</f>
        <v>0</v>
      </c>
      <c r="Q181" s="101">
        <f>'2019'!M31</f>
        <v>40</v>
      </c>
      <c r="R181" s="101">
        <f>'2020'!M27</f>
        <v>0</v>
      </c>
      <c r="S181" s="101">
        <f>'2021'!M24</f>
        <v>0</v>
      </c>
      <c r="T181" s="100">
        <f>'2022'!P26</f>
        <v>62</v>
      </c>
      <c r="U181" s="101">
        <f>'2023'!P25</f>
        <v>0</v>
      </c>
      <c r="V181" s="101">
        <f>'2024'!M24</f>
        <v>0</v>
      </c>
      <c r="W181" s="101"/>
      <c r="X181" s="101">
        <f t="shared" si="19"/>
        <v>102</v>
      </c>
      <c r="Y181" s="130">
        <f t="shared" si="20"/>
        <v>20.399999999999999</v>
      </c>
      <c r="Z181" s="101">
        <f t="shared" si="21"/>
        <v>88.898630136986313</v>
      </c>
      <c r="AA181" s="101">
        <f t="shared" si="22"/>
        <v>3380</v>
      </c>
      <c r="AB181" s="101">
        <f t="shared" si="23"/>
        <v>9.2602739726027394</v>
      </c>
      <c r="AC181" s="102">
        <f t="shared" si="24"/>
        <v>9.2602739726027394</v>
      </c>
      <c r="AD181" s="103">
        <v>45444</v>
      </c>
    </row>
    <row r="182" spans="1:30" x14ac:dyDescent="0.25">
      <c r="A182" s="4">
        <v>26</v>
      </c>
      <c r="B182" s="91" t="s">
        <v>376</v>
      </c>
      <c r="C182" s="91" t="s">
        <v>513</v>
      </c>
      <c r="D182" s="95"/>
      <c r="E182" s="95"/>
      <c r="F182" s="74">
        <v>41760</v>
      </c>
      <c r="G182" s="74">
        <v>41760</v>
      </c>
      <c r="H182" s="103"/>
      <c r="I182" s="103"/>
      <c r="J182" s="103"/>
      <c r="K182" s="103"/>
      <c r="L182" s="102">
        <f>'2014'!I46</f>
        <v>0</v>
      </c>
      <c r="M182" s="102">
        <f>'2015'!L40</f>
        <v>0</v>
      </c>
      <c r="N182" s="100">
        <f>'2016'!M48</f>
        <v>71</v>
      </c>
      <c r="O182" s="93"/>
      <c r="P182" s="100">
        <f>'2018'!M44</f>
        <v>19</v>
      </c>
      <c r="Q182" s="101">
        <f>'2019'!M37</f>
        <v>63</v>
      </c>
      <c r="R182" s="101">
        <f>'2020'!M33</f>
        <v>0</v>
      </c>
      <c r="S182" s="100">
        <f>'2021'!M27</f>
        <v>66</v>
      </c>
      <c r="T182" s="101">
        <f>'2022'!P28</f>
        <v>10</v>
      </c>
      <c r="U182" s="101">
        <f>'2023'!P27</f>
        <v>0</v>
      </c>
      <c r="V182" s="101">
        <f>'2024'!M26</f>
        <v>0</v>
      </c>
      <c r="W182" s="101"/>
      <c r="X182" s="101">
        <f t="shared" si="19"/>
        <v>229</v>
      </c>
      <c r="Y182" s="130">
        <f t="shared" si="20"/>
        <v>45.8</v>
      </c>
      <c r="Z182" s="101">
        <f t="shared" si="21"/>
        <v>-159.47178082191778</v>
      </c>
      <c r="AA182" s="101">
        <f t="shared" si="22"/>
        <v>3684</v>
      </c>
      <c r="AB182" s="101">
        <f t="shared" si="23"/>
        <v>10.093150684931507</v>
      </c>
      <c r="AC182" s="102">
        <f t="shared" si="24"/>
        <v>10.093150684931507</v>
      </c>
      <c r="AD182" s="103">
        <v>45444</v>
      </c>
    </row>
    <row r="183" spans="1:30" x14ac:dyDescent="0.25">
      <c r="A183" s="4">
        <v>30</v>
      </c>
      <c r="B183" s="91" t="s">
        <v>381</v>
      </c>
      <c r="C183" s="91" t="s">
        <v>517</v>
      </c>
      <c r="D183" s="95"/>
      <c r="E183" s="95"/>
      <c r="F183" s="74">
        <v>42614</v>
      </c>
      <c r="G183" s="74">
        <v>42614</v>
      </c>
      <c r="H183" s="108" t="s">
        <v>225</v>
      </c>
      <c r="I183" s="108"/>
      <c r="J183" s="108"/>
      <c r="K183" s="108"/>
      <c r="L183" s="108"/>
      <c r="M183" s="108"/>
      <c r="N183" s="101">
        <f>'2016'!M54</f>
        <v>0</v>
      </c>
      <c r="O183" s="93"/>
      <c r="P183" s="101">
        <f>'2018'!M48</f>
        <v>0</v>
      </c>
      <c r="Q183" s="100">
        <f>'2019'!M41</f>
        <v>62</v>
      </c>
      <c r="R183" s="101">
        <f>'2020'!M37</f>
        <v>1</v>
      </c>
      <c r="S183" s="101">
        <f>'2021'!M31</f>
        <v>0</v>
      </c>
      <c r="T183" s="100">
        <f>'2022'!P32</f>
        <v>82</v>
      </c>
      <c r="U183" s="101">
        <f>'2023'!P31</f>
        <v>0</v>
      </c>
      <c r="V183" s="101">
        <f>'2024'!M30</f>
        <v>0</v>
      </c>
      <c r="W183" s="101"/>
      <c r="X183" s="101">
        <f t="shared" si="19"/>
        <v>145</v>
      </c>
      <c r="Y183" s="130">
        <f t="shared" si="20"/>
        <v>29</v>
      </c>
      <c r="Z183" s="101">
        <f t="shared" si="21"/>
        <v>7.7534246575342465</v>
      </c>
      <c r="AA183" s="101">
        <f t="shared" si="22"/>
        <v>2830</v>
      </c>
      <c r="AB183" s="101">
        <f t="shared" si="23"/>
        <v>7.7534246575342465</v>
      </c>
      <c r="AC183" s="102">
        <f t="shared" si="24"/>
        <v>7.7534246575342465</v>
      </c>
      <c r="AD183" s="103">
        <v>45444</v>
      </c>
    </row>
    <row r="184" spans="1:30" x14ac:dyDescent="0.25">
      <c r="A184" s="4">
        <v>31</v>
      </c>
      <c r="B184" s="91" t="s">
        <v>382</v>
      </c>
      <c r="C184" s="91" t="s">
        <v>518</v>
      </c>
      <c r="D184" s="95"/>
      <c r="E184" s="95"/>
      <c r="F184" s="74">
        <v>42644</v>
      </c>
      <c r="G184" s="74">
        <v>42644</v>
      </c>
      <c r="H184" s="108"/>
      <c r="I184" s="108"/>
      <c r="J184" s="108"/>
      <c r="K184" s="108"/>
      <c r="L184" s="108"/>
      <c r="M184" s="108"/>
      <c r="N184" s="101">
        <f>'2016'!M55</f>
        <v>0</v>
      </c>
      <c r="O184" s="93"/>
      <c r="P184" s="100">
        <f>'2018'!M49</f>
        <v>23</v>
      </c>
      <c r="Q184" s="101">
        <f>'2019'!M42</f>
        <v>41</v>
      </c>
      <c r="R184" s="100">
        <f>'2020'!M38</f>
        <v>32</v>
      </c>
      <c r="S184" s="101">
        <f>'2021'!M32</f>
        <v>30</v>
      </c>
      <c r="T184" s="100">
        <f>'2022'!P33</f>
        <v>31</v>
      </c>
      <c r="U184" s="101">
        <f>'2023'!P32</f>
        <v>56</v>
      </c>
      <c r="V184" s="101">
        <f>'2024'!M31</f>
        <v>0</v>
      </c>
      <c r="W184" s="101"/>
      <c r="X184" s="101">
        <f t="shared" si="19"/>
        <v>213</v>
      </c>
      <c r="Y184" s="130">
        <f t="shared" si="20"/>
        <v>42.6</v>
      </c>
      <c r="Z184" s="101">
        <f t="shared" si="21"/>
        <v>-96.657534246575352</v>
      </c>
      <c r="AA184" s="101">
        <f t="shared" si="22"/>
        <v>2800</v>
      </c>
      <c r="AB184" s="101">
        <f t="shared" si="23"/>
        <v>7.6712328767123283</v>
      </c>
      <c r="AC184" s="102">
        <f t="shared" si="24"/>
        <v>7.6712328767123283</v>
      </c>
      <c r="AD184" s="103">
        <v>45444</v>
      </c>
    </row>
    <row r="185" spans="1:30" x14ac:dyDescent="0.25">
      <c r="A185" s="4">
        <v>35</v>
      </c>
      <c r="B185" s="91" t="s">
        <v>385</v>
      </c>
      <c r="C185" s="91" t="s">
        <v>520</v>
      </c>
      <c r="D185" s="110"/>
      <c r="E185" s="110"/>
      <c r="F185" s="74">
        <v>42948</v>
      </c>
      <c r="G185" s="74">
        <v>42948</v>
      </c>
      <c r="H185" s="108"/>
      <c r="I185" s="108"/>
      <c r="J185" s="108"/>
      <c r="K185" s="108"/>
      <c r="L185" s="108"/>
      <c r="M185" s="108"/>
      <c r="N185" s="101"/>
      <c r="O185" s="93"/>
      <c r="P185" s="101">
        <f>'2018'!M60</f>
        <v>0</v>
      </c>
      <c r="Q185" s="101">
        <f>'2019'!M51</f>
        <v>7</v>
      </c>
      <c r="R185" s="101">
        <f>'2020'!M44</f>
        <v>0</v>
      </c>
      <c r="S185" s="101">
        <f>'2021'!M36</f>
        <v>0</v>
      </c>
      <c r="T185" s="100">
        <f>'2022'!P37</f>
        <v>33</v>
      </c>
      <c r="U185" s="101">
        <f>'2023'!P35</f>
        <v>3</v>
      </c>
      <c r="V185" s="101">
        <f>'2024'!M34</f>
        <v>0</v>
      </c>
      <c r="W185" s="101"/>
      <c r="X185" s="101">
        <f t="shared" si="19"/>
        <v>43</v>
      </c>
      <c r="Y185" s="130">
        <f t="shared" si="20"/>
        <v>8.6</v>
      </c>
      <c r="Z185" s="101">
        <f t="shared" si="21"/>
        <v>146.34082191780823</v>
      </c>
      <c r="AA185" s="101">
        <f t="shared" si="22"/>
        <v>2496</v>
      </c>
      <c r="AB185" s="101">
        <f t="shared" si="23"/>
        <v>6.838356164383562</v>
      </c>
      <c r="AC185" s="102">
        <f t="shared" si="24"/>
        <v>6.838356164383562</v>
      </c>
      <c r="AD185" s="103">
        <v>45444</v>
      </c>
    </row>
    <row r="186" spans="1:30" ht="16.5" customHeight="1" x14ac:dyDescent="0.25">
      <c r="A186" s="4">
        <v>41</v>
      </c>
      <c r="B186" s="91" t="s">
        <v>391</v>
      </c>
      <c r="C186" s="91" t="s">
        <v>525</v>
      </c>
      <c r="D186" s="58"/>
      <c r="E186" s="58"/>
      <c r="F186" s="74">
        <v>43282</v>
      </c>
      <c r="G186" s="74">
        <v>43282</v>
      </c>
      <c r="H186" s="108"/>
      <c r="I186" s="108"/>
      <c r="J186" s="108"/>
      <c r="K186" s="108"/>
      <c r="L186" s="108"/>
      <c r="M186" s="108"/>
      <c r="N186" s="101"/>
      <c r="O186" s="93"/>
      <c r="P186" s="101">
        <f>'2018'!M68</f>
        <v>0</v>
      </c>
      <c r="Q186" s="101">
        <f>'2019'!M59</f>
        <v>0</v>
      </c>
      <c r="R186" s="101">
        <f>'2020'!M50</f>
        <v>0</v>
      </c>
      <c r="S186" s="101">
        <f>'2021'!M42</f>
        <v>7</v>
      </c>
      <c r="T186" s="100">
        <f>'2022'!P43</f>
        <v>75</v>
      </c>
      <c r="U186" s="101">
        <f>'2023'!P41</f>
        <v>24</v>
      </c>
      <c r="V186" s="101">
        <f>'2024'!M40</f>
        <v>0</v>
      </c>
      <c r="W186" s="101"/>
      <c r="X186" s="101">
        <f t="shared" si="19"/>
        <v>106</v>
      </c>
      <c r="Y186" s="130">
        <f t="shared" si="20"/>
        <v>21.2</v>
      </c>
      <c r="Z186" s="101">
        <f t="shared" si="21"/>
        <v>52.124931506849315</v>
      </c>
      <c r="AA186" s="101">
        <f t="shared" si="22"/>
        <v>2162</v>
      </c>
      <c r="AB186" s="101">
        <f t="shared" si="23"/>
        <v>5.9232876712328766</v>
      </c>
      <c r="AC186" s="102">
        <f t="shared" si="24"/>
        <v>5.9232876712328766</v>
      </c>
      <c r="AD186" s="103">
        <v>45444</v>
      </c>
    </row>
    <row r="187" spans="1:30" x14ac:dyDescent="0.25">
      <c r="A187" s="4">
        <v>52</v>
      </c>
      <c r="B187" s="91" t="s">
        <v>402</v>
      </c>
      <c r="C187" s="91" t="s">
        <v>536</v>
      </c>
      <c r="D187" s="60"/>
      <c r="E187" s="60"/>
      <c r="F187" s="74">
        <v>44105</v>
      </c>
      <c r="G187" s="74">
        <v>44105</v>
      </c>
      <c r="H187" s="108"/>
      <c r="I187" s="108"/>
      <c r="J187" s="108"/>
      <c r="K187" s="108"/>
      <c r="L187" s="108"/>
      <c r="M187" s="108"/>
      <c r="N187" s="101"/>
      <c r="O187" s="93"/>
      <c r="P187" s="101"/>
      <c r="Q187" s="101"/>
      <c r="R187" s="101"/>
      <c r="S187" s="101">
        <f>'2021'!M54</f>
        <v>0</v>
      </c>
      <c r="T187" s="101">
        <f>'2022'!P54</f>
        <v>14</v>
      </c>
      <c r="U187" s="100">
        <f>'2023'!P52</f>
        <v>62</v>
      </c>
      <c r="V187" s="101">
        <f>'2024'!M51</f>
        <v>0</v>
      </c>
      <c r="W187" s="101"/>
      <c r="X187" s="101">
        <f t="shared" si="19"/>
        <v>76</v>
      </c>
      <c r="Y187" s="130">
        <f t="shared" si="20"/>
        <v>15.2</v>
      </c>
      <c r="Z187" s="101">
        <f t="shared" si="21"/>
        <v>54.293698630136987</v>
      </c>
      <c r="AA187" s="101">
        <f t="shared" si="22"/>
        <v>1339</v>
      </c>
      <c r="AB187" s="101">
        <f t="shared" si="23"/>
        <v>3.6684931506849314</v>
      </c>
      <c r="AC187" s="102">
        <f t="shared" si="24"/>
        <v>3.6684931506849314</v>
      </c>
      <c r="AD187" s="103">
        <v>45444</v>
      </c>
    </row>
    <row r="188" spans="1:30" x14ac:dyDescent="0.25">
      <c r="A188" s="4">
        <v>63</v>
      </c>
      <c r="B188" s="91" t="s">
        <v>409</v>
      </c>
      <c r="C188" s="91" t="s">
        <v>542</v>
      </c>
      <c r="D188" s="114"/>
      <c r="E188" s="114"/>
      <c r="F188" s="74">
        <v>44256</v>
      </c>
      <c r="G188" s="74">
        <v>44378</v>
      </c>
      <c r="H188" s="58"/>
      <c r="I188" s="58"/>
      <c r="J188" s="58"/>
      <c r="K188" s="58"/>
      <c r="L188" s="58"/>
      <c r="M188" s="58"/>
      <c r="N188" s="58"/>
      <c r="O188" s="93"/>
      <c r="P188" s="58"/>
      <c r="Q188" s="58"/>
      <c r="R188" s="58"/>
      <c r="S188" s="101">
        <f>'2021'!M66</f>
        <v>0</v>
      </c>
      <c r="T188" s="101">
        <f>'2022'!P64</f>
        <v>34</v>
      </c>
      <c r="U188" s="101">
        <f>'2023'!P59</f>
        <v>0</v>
      </c>
      <c r="V188" s="101">
        <f>'2024'!M58</f>
        <v>0</v>
      </c>
      <c r="W188" s="101"/>
      <c r="X188" s="101">
        <f t="shared" si="19"/>
        <v>34</v>
      </c>
      <c r="Y188" s="130">
        <f t="shared" si="20"/>
        <v>6.8</v>
      </c>
      <c r="Z188" s="101">
        <f t="shared" si="21"/>
        <v>67.756712328767122</v>
      </c>
      <c r="AA188" s="101">
        <f t="shared" si="22"/>
        <v>1066</v>
      </c>
      <c r="AB188" s="101">
        <f t="shared" si="23"/>
        <v>2.9205479452054797</v>
      </c>
      <c r="AC188" s="102">
        <f t="shared" si="24"/>
        <v>2.9205479452054797</v>
      </c>
      <c r="AD188" s="103">
        <v>45444</v>
      </c>
    </row>
    <row r="189" spans="1:30" x14ac:dyDescent="0.25">
      <c r="A189" s="4">
        <v>64</v>
      </c>
      <c r="B189" s="91" t="s">
        <v>410</v>
      </c>
      <c r="C189" s="91" t="s">
        <v>543</v>
      </c>
      <c r="D189" s="114"/>
      <c r="E189" s="114"/>
      <c r="F189" s="74">
        <v>44256</v>
      </c>
      <c r="G189" s="74">
        <v>44256</v>
      </c>
      <c r="H189" s="58"/>
      <c r="I189" s="58"/>
      <c r="J189" s="58"/>
      <c r="K189" s="58"/>
      <c r="L189" s="58"/>
      <c r="M189" s="58"/>
      <c r="N189" s="58"/>
      <c r="O189" s="93"/>
      <c r="P189" s="58"/>
      <c r="Q189" s="58"/>
      <c r="R189" s="58"/>
      <c r="S189" s="101">
        <f>'2021'!M67</f>
        <v>0</v>
      </c>
      <c r="T189" s="101">
        <f>'2022'!P65</f>
        <v>0</v>
      </c>
      <c r="U189" s="101">
        <f>'2023'!P60</f>
        <v>0</v>
      </c>
      <c r="V189" s="101">
        <f>'2024'!M59</f>
        <v>0</v>
      </c>
      <c r="W189" s="101"/>
      <c r="X189" s="101">
        <f t="shared" si="19"/>
        <v>0</v>
      </c>
      <c r="Y189" s="130">
        <f t="shared" si="20"/>
        <v>0</v>
      </c>
      <c r="Z189" s="101">
        <f t="shared" si="21"/>
        <v>97.643835616438352</v>
      </c>
      <c r="AA189" s="101">
        <f t="shared" si="22"/>
        <v>1188</v>
      </c>
      <c r="AB189" s="101">
        <f t="shared" si="23"/>
        <v>3.2547945205479452</v>
      </c>
      <c r="AC189" s="102">
        <f t="shared" si="24"/>
        <v>3.2547945205479452</v>
      </c>
      <c r="AD189" s="103">
        <v>45444</v>
      </c>
    </row>
    <row r="190" spans="1:30" x14ac:dyDescent="0.25">
      <c r="A190" s="4">
        <v>65</v>
      </c>
      <c r="B190" s="91" t="s">
        <v>411</v>
      </c>
      <c r="C190" s="91" t="s">
        <v>544</v>
      </c>
      <c r="D190" s="60"/>
      <c r="E190" s="60"/>
      <c r="F190" s="74">
        <v>44256</v>
      </c>
      <c r="G190" s="74">
        <v>44256</v>
      </c>
      <c r="H190" s="58"/>
      <c r="I190" s="58"/>
      <c r="J190" s="58"/>
      <c r="K190" s="58"/>
      <c r="L190" s="58"/>
      <c r="M190" s="58"/>
      <c r="N190" s="58"/>
      <c r="O190" s="93"/>
      <c r="P190" s="58"/>
      <c r="Q190" s="58"/>
      <c r="R190" s="58"/>
      <c r="S190" s="101">
        <f>'2021'!M68</f>
        <v>0</v>
      </c>
      <c r="T190" s="101">
        <f>'2022'!P66</f>
        <v>0</v>
      </c>
      <c r="U190" s="101">
        <f>'2023'!P61</f>
        <v>0</v>
      </c>
      <c r="V190" s="101">
        <f>'2024'!M60</f>
        <v>0</v>
      </c>
      <c r="W190" s="101"/>
      <c r="X190" s="101">
        <f t="shared" si="19"/>
        <v>0</v>
      </c>
      <c r="Y190" s="130">
        <f t="shared" si="20"/>
        <v>0</v>
      </c>
      <c r="Z190" s="101">
        <f t="shared" si="21"/>
        <v>97.643835616438352</v>
      </c>
      <c r="AA190" s="101">
        <f t="shared" si="22"/>
        <v>1188</v>
      </c>
      <c r="AB190" s="101">
        <f t="shared" si="23"/>
        <v>3.2547945205479452</v>
      </c>
      <c r="AC190" s="102">
        <f t="shared" si="24"/>
        <v>3.2547945205479452</v>
      </c>
      <c r="AD190" s="103">
        <v>45444</v>
      </c>
    </row>
    <row r="191" spans="1:30" x14ac:dyDescent="0.25">
      <c r="A191" s="4">
        <v>67</v>
      </c>
      <c r="B191" s="91" t="s">
        <v>413</v>
      </c>
      <c r="C191" s="91" t="s">
        <v>545</v>
      </c>
      <c r="D191" s="60"/>
      <c r="E191" s="60"/>
      <c r="F191" s="74">
        <v>44287</v>
      </c>
      <c r="G191" s="74">
        <v>44287</v>
      </c>
      <c r="H191" s="58"/>
      <c r="I191" s="58"/>
      <c r="J191" s="58"/>
      <c r="K191" s="58"/>
      <c r="L191" s="58"/>
      <c r="M191" s="58"/>
      <c r="N191" s="58"/>
      <c r="O191" s="93"/>
      <c r="P191" s="58"/>
      <c r="Q191" s="58"/>
      <c r="R191" s="58"/>
      <c r="S191" s="101">
        <f>'2021'!M70</f>
        <v>0</v>
      </c>
      <c r="T191" s="101">
        <f>'2022'!P68</f>
        <v>0</v>
      </c>
      <c r="U191" s="101">
        <f>'2023'!P63</f>
        <v>0</v>
      </c>
      <c r="V191" s="101">
        <f>'2024'!M62</f>
        <v>0</v>
      </c>
      <c r="W191" s="101"/>
      <c r="X191" s="101">
        <f t="shared" si="19"/>
        <v>0</v>
      </c>
      <c r="Y191" s="130">
        <f t="shared" si="20"/>
        <v>0</v>
      </c>
      <c r="Z191" s="101">
        <f t="shared" si="21"/>
        <v>95.095890410958901</v>
      </c>
      <c r="AA191" s="101">
        <f t="shared" si="22"/>
        <v>1157</v>
      </c>
      <c r="AB191" s="101">
        <f t="shared" si="23"/>
        <v>3.1698630136986301</v>
      </c>
      <c r="AC191" s="102">
        <f t="shared" si="24"/>
        <v>3.1698630136986301</v>
      </c>
      <c r="AD191" s="103">
        <v>45444</v>
      </c>
    </row>
    <row r="192" spans="1:30" x14ac:dyDescent="0.25">
      <c r="A192" s="4">
        <v>73</v>
      </c>
      <c r="B192" s="91" t="s">
        <v>418</v>
      </c>
      <c r="C192" s="91" t="s">
        <v>549</v>
      </c>
      <c r="D192" s="60"/>
      <c r="E192" s="60"/>
      <c r="F192" s="74">
        <v>44470</v>
      </c>
      <c r="G192" s="74">
        <v>44470</v>
      </c>
      <c r="H192" s="58"/>
      <c r="I192" s="58"/>
      <c r="J192" s="58"/>
      <c r="K192" s="58"/>
      <c r="L192" s="58"/>
      <c r="M192" s="58"/>
      <c r="N192" s="58"/>
      <c r="O192" s="93"/>
      <c r="P192" s="58"/>
      <c r="Q192" s="58"/>
      <c r="R192" s="58"/>
      <c r="S192" s="101">
        <f>'2021'!M76</f>
        <v>0</v>
      </c>
      <c r="T192" s="101">
        <f>'2022'!P74</f>
        <v>0</v>
      </c>
      <c r="U192" s="101">
        <f>'2023'!P68</f>
        <v>0</v>
      </c>
      <c r="V192" s="101">
        <f>'2024'!M67</f>
        <v>0</v>
      </c>
      <c r="W192" s="101"/>
      <c r="X192" s="101">
        <f t="shared" si="19"/>
        <v>0</v>
      </c>
      <c r="Y192" s="130">
        <f t="shared" si="20"/>
        <v>0</v>
      </c>
      <c r="Z192" s="101">
        <f t="shared" si="21"/>
        <v>80.054794520547944</v>
      </c>
      <c r="AA192" s="101">
        <f t="shared" si="22"/>
        <v>974</v>
      </c>
      <c r="AB192" s="101">
        <f t="shared" si="23"/>
        <v>2.6684931506849314</v>
      </c>
      <c r="AC192" s="102">
        <f t="shared" si="24"/>
        <v>2.6684931506849314</v>
      </c>
      <c r="AD192" s="103">
        <v>45444</v>
      </c>
    </row>
    <row r="193" spans="1:30" x14ac:dyDescent="0.25">
      <c r="A193" s="4">
        <v>83</v>
      </c>
      <c r="B193" s="91" t="s">
        <v>427</v>
      </c>
      <c r="C193" s="91" t="s">
        <v>558</v>
      </c>
      <c r="D193" s="109"/>
      <c r="E193" s="109"/>
      <c r="F193" s="74">
        <v>44652</v>
      </c>
      <c r="G193" s="74">
        <v>44652</v>
      </c>
      <c r="H193" s="58"/>
      <c r="I193" s="58"/>
      <c r="J193" s="58"/>
      <c r="K193" s="58"/>
      <c r="L193" s="58"/>
      <c r="M193" s="58"/>
      <c r="N193" s="58"/>
      <c r="O193" s="93"/>
      <c r="P193" s="58"/>
      <c r="Q193" s="58"/>
      <c r="R193" s="58"/>
      <c r="S193" s="58"/>
      <c r="T193" s="101">
        <f>'2022'!P84</f>
        <v>0</v>
      </c>
      <c r="U193" s="101">
        <f>'2023'!P77</f>
        <v>21</v>
      </c>
      <c r="V193" s="101">
        <f>'2024'!M75</f>
        <v>0</v>
      </c>
      <c r="W193" s="101"/>
      <c r="X193" s="101">
        <f t="shared" si="19"/>
        <v>21</v>
      </c>
      <c r="Y193" s="130">
        <f t="shared" si="20"/>
        <v>4.2</v>
      </c>
      <c r="Z193" s="101">
        <f t="shared" si="21"/>
        <v>55.982465753424655</v>
      </c>
      <c r="AA193" s="101">
        <f t="shared" si="22"/>
        <v>792</v>
      </c>
      <c r="AB193" s="101">
        <f t="shared" si="23"/>
        <v>2.1698630136986301</v>
      </c>
      <c r="AC193" s="102">
        <f t="shared" si="24"/>
        <v>2.1698630136986301</v>
      </c>
      <c r="AD193" s="103">
        <v>45444</v>
      </c>
    </row>
    <row r="194" spans="1:30" x14ac:dyDescent="0.25">
      <c r="A194" s="4">
        <v>87</v>
      </c>
      <c r="B194" s="91" t="s">
        <v>430</v>
      </c>
      <c r="C194" s="91" t="s">
        <v>561</v>
      </c>
      <c r="D194" s="109"/>
      <c r="E194" s="109"/>
      <c r="F194" s="74">
        <v>44652</v>
      </c>
      <c r="G194" s="74">
        <v>44652</v>
      </c>
      <c r="H194" s="58"/>
      <c r="I194" s="58"/>
      <c r="J194" s="58"/>
      <c r="K194" s="58"/>
      <c r="L194" s="58"/>
      <c r="M194" s="58"/>
      <c r="N194" s="58"/>
      <c r="O194" s="93"/>
      <c r="P194" s="58"/>
      <c r="Q194" s="58"/>
      <c r="R194" s="58"/>
      <c r="S194" s="58"/>
      <c r="T194" s="101">
        <f>'2022'!P88</f>
        <v>0</v>
      </c>
      <c r="U194" s="101">
        <f>'2023'!P80</f>
        <v>0</v>
      </c>
      <c r="V194" s="101">
        <f>'2024'!M78</f>
        <v>0</v>
      </c>
      <c r="W194" s="101"/>
      <c r="X194" s="101">
        <f t="shared" si="19"/>
        <v>0</v>
      </c>
      <c r="Y194" s="130">
        <f t="shared" si="20"/>
        <v>0</v>
      </c>
      <c r="Z194" s="101">
        <f t="shared" si="21"/>
        <v>65.095890410958901</v>
      </c>
      <c r="AA194" s="101">
        <f t="shared" si="22"/>
        <v>792</v>
      </c>
      <c r="AB194" s="101">
        <f t="shared" si="23"/>
        <v>2.1698630136986301</v>
      </c>
      <c r="AC194" s="102">
        <f t="shared" si="24"/>
        <v>2.1698630136986301</v>
      </c>
      <c r="AD194" s="103">
        <v>45444</v>
      </c>
    </row>
    <row r="195" spans="1:30" x14ac:dyDescent="0.25">
      <c r="A195" s="4">
        <v>109</v>
      </c>
      <c r="B195" s="91" t="s">
        <v>450</v>
      </c>
      <c r="C195" s="91" t="s">
        <v>580</v>
      </c>
      <c r="D195" s="95"/>
      <c r="E195" s="95"/>
      <c r="F195" s="74">
        <v>44470</v>
      </c>
      <c r="G195" s="74">
        <v>44470</v>
      </c>
      <c r="H195" s="102"/>
      <c r="I195" s="102"/>
      <c r="J195" s="99"/>
      <c r="K195" s="102"/>
      <c r="L195" s="58"/>
      <c r="M195" s="58"/>
      <c r="N195" s="58"/>
      <c r="O195" s="93"/>
      <c r="P195" s="101"/>
      <c r="Q195" s="101"/>
      <c r="R195" s="101"/>
      <c r="S195" s="101"/>
      <c r="T195" s="101">
        <f>'2022'!P110</f>
        <v>0</v>
      </c>
      <c r="U195" s="101">
        <f>'2023'!P101</f>
        <v>0</v>
      </c>
      <c r="V195" s="101">
        <f>'2024'!M98</f>
        <v>0</v>
      </c>
      <c r="W195" s="101"/>
      <c r="X195" s="101">
        <f t="shared" si="19"/>
        <v>0</v>
      </c>
      <c r="Y195" s="130">
        <f t="shared" si="20"/>
        <v>0</v>
      </c>
      <c r="Z195" s="101">
        <f t="shared" si="21"/>
        <v>80.054794520547944</v>
      </c>
      <c r="AA195" s="101">
        <f t="shared" si="22"/>
        <v>974</v>
      </c>
      <c r="AB195" s="101">
        <f t="shared" si="23"/>
        <v>2.6684931506849314</v>
      </c>
      <c r="AC195" s="102">
        <f t="shared" si="24"/>
        <v>2.6684931506849314</v>
      </c>
      <c r="AD195" s="103">
        <v>45444</v>
      </c>
    </row>
    <row r="196" spans="1:30" x14ac:dyDescent="0.25">
      <c r="A196" s="4">
        <v>110</v>
      </c>
      <c r="B196" s="91" t="s">
        <v>451</v>
      </c>
      <c r="C196" s="91" t="s">
        <v>274</v>
      </c>
      <c r="D196" s="95"/>
      <c r="E196" s="95"/>
      <c r="F196" s="74">
        <v>43678</v>
      </c>
      <c r="G196" s="74">
        <v>43678</v>
      </c>
      <c r="H196" s="58"/>
      <c r="I196" s="58"/>
      <c r="J196" s="58"/>
      <c r="K196" s="58"/>
      <c r="L196" s="58"/>
      <c r="M196" s="58"/>
      <c r="N196" s="58"/>
      <c r="O196" s="93"/>
      <c r="P196" s="101">
        <f>'2018'!M105</f>
        <v>0</v>
      </c>
      <c r="Q196" s="101">
        <f>'2019'!M108</f>
        <v>0</v>
      </c>
      <c r="R196" s="101">
        <f>'2020'!M98</f>
        <v>0</v>
      </c>
      <c r="S196" s="100">
        <f>'2021'!M112</f>
        <v>0</v>
      </c>
      <c r="T196" s="101">
        <f>'2022'!P111</f>
        <v>60</v>
      </c>
      <c r="U196" s="101">
        <f>'2023'!P102</f>
        <v>0</v>
      </c>
      <c r="V196" s="101">
        <f>'2024'!M99</f>
        <v>0</v>
      </c>
      <c r="W196" s="101"/>
      <c r="X196" s="101">
        <f t="shared" si="19"/>
        <v>60</v>
      </c>
      <c r="Y196" s="130">
        <f t="shared" si="20"/>
        <v>12</v>
      </c>
      <c r="Z196" s="101">
        <f t="shared" si="21"/>
        <v>87.090410958904116</v>
      </c>
      <c r="AA196" s="101">
        <f t="shared" si="22"/>
        <v>1766</v>
      </c>
      <c r="AB196" s="101">
        <f t="shared" si="23"/>
        <v>4.838356164383562</v>
      </c>
      <c r="AC196" s="102">
        <f t="shared" si="24"/>
        <v>4.838356164383562</v>
      </c>
      <c r="AD196" s="103">
        <v>45444</v>
      </c>
    </row>
    <row r="197" spans="1:30" x14ac:dyDescent="0.25">
      <c r="A197" s="4">
        <v>113</v>
      </c>
      <c r="B197" s="91" t="s">
        <v>454</v>
      </c>
      <c r="C197" s="91" t="s">
        <v>583</v>
      </c>
      <c r="D197" s="95"/>
      <c r="E197" s="95"/>
      <c r="F197" s="74">
        <v>44013</v>
      </c>
      <c r="G197" s="74">
        <v>44013</v>
      </c>
      <c r="H197" s="58"/>
      <c r="I197" s="58"/>
      <c r="J197" s="58"/>
      <c r="K197" s="58"/>
      <c r="L197" s="58"/>
      <c r="M197" s="58"/>
      <c r="N197" s="58"/>
      <c r="O197" s="93"/>
      <c r="P197" s="58"/>
      <c r="Q197" s="58"/>
      <c r="R197" s="101">
        <f>'2020'!M81</f>
        <v>0</v>
      </c>
      <c r="S197" s="101">
        <f>'2021'!M98</f>
        <v>0</v>
      </c>
      <c r="T197" s="101">
        <f>'2022'!P114</f>
        <v>0</v>
      </c>
      <c r="U197" s="101">
        <f>'2023'!P105</f>
        <v>0</v>
      </c>
      <c r="V197" s="101">
        <f>'2024'!M102</f>
        <v>0</v>
      </c>
      <c r="W197" s="101"/>
      <c r="X197" s="101">
        <f t="shared" si="19"/>
        <v>0</v>
      </c>
      <c r="Y197" s="130">
        <f t="shared" si="20"/>
        <v>0</v>
      </c>
      <c r="Z197" s="101">
        <f t="shared" si="21"/>
        <v>117.61643835616439</v>
      </c>
      <c r="AA197" s="101">
        <f t="shared" si="22"/>
        <v>1431</v>
      </c>
      <c r="AB197" s="101">
        <f t="shared" si="23"/>
        <v>3.9205479452054797</v>
      </c>
      <c r="AC197" s="102">
        <f t="shared" si="24"/>
        <v>3.9205479452054797</v>
      </c>
      <c r="AD197" s="103">
        <v>45444</v>
      </c>
    </row>
    <row r="198" spans="1:30" x14ac:dyDescent="0.25">
      <c r="A198" s="4">
        <v>124</v>
      </c>
      <c r="B198" s="91" t="s">
        <v>465</v>
      </c>
      <c r="C198" s="91" t="s">
        <v>594</v>
      </c>
      <c r="D198" s="95"/>
      <c r="E198" s="95"/>
      <c r="F198" s="74">
        <v>42140</v>
      </c>
      <c r="G198" s="74">
        <v>42140</v>
      </c>
      <c r="H198" s="117"/>
      <c r="I198" s="117"/>
      <c r="J198" s="117"/>
      <c r="K198" s="117"/>
      <c r="L198" s="58"/>
      <c r="M198" s="58"/>
      <c r="N198" s="58"/>
      <c r="O198" s="93"/>
      <c r="P198" s="101">
        <f>'2018'!M101</f>
        <v>0</v>
      </c>
      <c r="Q198" s="101">
        <f>'2019'!M104</f>
        <v>0</v>
      </c>
      <c r="R198" s="100">
        <f>'2020'!M94</f>
        <v>28</v>
      </c>
      <c r="S198" s="101">
        <f>'2021'!M109</f>
        <v>58</v>
      </c>
      <c r="T198" s="101">
        <f>'2022'!P125</f>
        <v>0</v>
      </c>
      <c r="U198" s="101">
        <f>'2023'!P116</f>
        <v>0</v>
      </c>
      <c r="V198" s="101">
        <f>'2024'!M113</f>
        <v>0</v>
      </c>
      <c r="W198" s="101"/>
      <c r="X198" s="101">
        <f t="shared" si="19"/>
        <v>86</v>
      </c>
      <c r="Y198" s="130">
        <f t="shared" si="20"/>
        <v>17.2</v>
      </c>
      <c r="Z198" s="101">
        <f t="shared" si="21"/>
        <v>115.86630136986301</v>
      </c>
      <c r="AA198" s="101">
        <f t="shared" si="22"/>
        <v>3304</v>
      </c>
      <c r="AB198" s="101">
        <f t="shared" si="23"/>
        <v>9.0520547945205472</v>
      </c>
      <c r="AC198" s="102">
        <f t="shared" si="24"/>
        <v>9.0520547945205472</v>
      </c>
      <c r="AD198" s="103">
        <v>45444</v>
      </c>
    </row>
    <row r="199" spans="1:30" x14ac:dyDescent="0.25">
      <c r="A199" s="4">
        <v>125</v>
      </c>
      <c r="B199" s="91" t="s">
        <v>466</v>
      </c>
      <c r="C199" s="91" t="s">
        <v>595</v>
      </c>
      <c r="D199" s="95"/>
      <c r="E199" s="95"/>
      <c r="F199" s="74">
        <v>43040</v>
      </c>
      <c r="G199" s="74">
        <v>43040</v>
      </c>
      <c r="H199" s="58"/>
      <c r="I199" s="58"/>
      <c r="J199" s="58"/>
      <c r="K199" s="58"/>
      <c r="L199" s="58"/>
      <c r="M199" s="58"/>
      <c r="N199" s="58"/>
      <c r="O199" s="93"/>
      <c r="P199" s="101">
        <f>'2018'!M104</f>
        <v>16</v>
      </c>
      <c r="Q199" s="101">
        <f>'2019'!M107</f>
        <v>0</v>
      </c>
      <c r="R199" s="100">
        <f>'2020'!M97</f>
        <v>79</v>
      </c>
      <c r="S199" s="101">
        <f>'2021'!M111</f>
        <v>0</v>
      </c>
      <c r="T199" s="101">
        <f>'2022'!P126</f>
        <v>0</v>
      </c>
      <c r="U199" s="100">
        <f>'2023'!P117</f>
        <v>75</v>
      </c>
      <c r="V199" s="101">
        <f>'2024'!M114</f>
        <v>0</v>
      </c>
      <c r="W199" s="101"/>
      <c r="X199" s="101">
        <f t="shared" si="19"/>
        <v>170</v>
      </c>
      <c r="Y199" s="130">
        <f t="shared" si="20"/>
        <v>34</v>
      </c>
      <c r="Z199" s="101">
        <f t="shared" si="21"/>
        <v>-26.345205479452055</v>
      </c>
      <c r="AA199" s="101">
        <f t="shared" si="22"/>
        <v>2404</v>
      </c>
      <c r="AB199" s="101">
        <f t="shared" si="23"/>
        <v>6.5863013698630137</v>
      </c>
      <c r="AC199" s="102">
        <f t="shared" si="24"/>
        <v>6.5863013698630137</v>
      </c>
      <c r="AD199" s="103">
        <v>45444</v>
      </c>
    </row>
    <row r="200" spans="1:30" x14ac:dyDescent="0.25">
      <c r="A200" s="4">
        <v>48</v>
      </c>
      <c r="B200" s="91" t="s">
        <v>398</v>
      </c>
      <c r="C200" s="91" t="s">
        <v>532</v>
      </c>
      <c r="D200" s="58" t="s">
        <v>322</v>
      </c>
      <c r="E200" s="58"/>
      <c r="F200" s="74">
        <v>43617</v>
      </c>
      <c r="G200" s="74">
        <v>43617</v>
      </c>
      <c r="H200" s="108"/>
      <c r="I200" s="108"/>
      <c r="J200" s="108"/>
      <c r="K200" s="108"/>
      <c r="L200" s="108"/>
      <c r="M200" s="108"/>
      <c r="N200" s="101"/>
      <c r="O200" s="93"/>
      <c r="P200" s="101"/>
      <c r="Q200" s="101">
        <f>'2019'!M70</f>
        <v>0</v>
      </c>
      <c r="R200" s="101">
        <f>'2020'!M60</f>
        <v>0</v>
      </c>
      <c r="S200" s="101">
        <f>'2021'!M49</f>
        <v>0</v>
      </c>
      <c r="T200" s="100">
        <f>'2022'!P50</f>
        <v>70</v>
      </c>
      <c r="U200" s="101">
        <f>'2023'!P48</f>
        <v>0</v>
      </c>
      <c r="V200" s="101">
        <f>'2024'!M47</f>
        <v>0</v>
      </c>
      <c r="W200" s="101"/>
      <c r="X200" s="101">
        <f t="shared" si="19"/>
        <v>70</v>
      </c>
      <c r="Y200" s="130">
        <f t="shared" si="20"/>
        <v>14</v>
      </c>
      <c r="Z200" s="101">
        <f t="shared" si="21"/>
        <v>80.087671232876716</v>
      </c>
      <c r="AA200" s="101">
        <f t="shared" si="22"/>
        <v>1827</v>
      </c>
      <c r="AB200" s="101">
        <f t="shared" si="23"/>
        <v>5.0054794520547947</v>
      </c>
      <c r="AC200" s="102">
        <f t="shared" si="24"/>
        <v>5.0054794520547947</v>
      </c>
      <c r="AD200" s="103">
        <v>45444</v>
      </c>
    </row>
    <row r="201" spans="1:30" x14ac:dyDescent="0.25">
      <c r="A201" s="82"/>
      <c r="B201" s="91" t="s">
        <v>358</v>
      </c>
      <c r="C201" s="91" t="s">
        <v>496</v>
      </c>
      <c r="D201" s="95"/>
      <c r="E201" s="95"/>
      <c r="F201" s="74">
        <v>44682</v>
      </c>
      <c r="G201" s="74">
        <v>44682</v>
      </c>
      <c r="H201" s="106"/>
      <c r="I201" s="107"/>
      <c r="J201" s="106"/>
      <c r="K201" s="106"/>
      <c r="L201" s="106"/>
      <c r="M201" s="106"/>
      <c r="N201" s="101"/>
      <c r="O201" s="93"/>
      <c r="P201" s="101"/>
      <c r="Q201" s="101"/>
      <c r="R201" s="101"/>
      <c r="S201" s="101"/>
      <c r="T201" s="101">
        <f>'2022'!P182</f>
        <v>0</v>
      </c>
      <c r="U201" s="101">
        <f>'2023'!P181</f>
        <v>0</v>
      </c>
      <c r="V201" s="101" t="e">
        <f>'2024'!#REF!</f>
        <v>#REF!</v>
      </c>
      <c r="W201" s="101"/>
      <c r="X201" s="101" t="e">
        <f t="shared" si="19"/>
        <v>#REF!</v>
      </c>
      <c r="Y201" s="130" t="e">
        <f t="shared" si="20"/>
        <v>#REF!</v>
      </c>
      <c r="Z201" s="101" t="e">
        <f t="shared" si="21"/>
        <v>#REF!</v>
      </c>
      <c r="AA201" s="101">
        <f t="shared" si="22"/>
        <v>858</v>
      </c>
      <c r="AB201" s="101">
        <f t="shared" si="23"/>
        <v>2.3506849315068492</v>
      </c>
      <c r="AC201" s="102">
        <f t="shared" si="24"/>
        <v>2.3506849315068492</v>
      </c>
      <c r="AD201" s="103">
        <v>45540</v>
      </c>
    </row>
    <row r="202" spans="1:30" x14ac:dyDescent="0.25">
      <c r="A202" s="82"/>
      <c r="B202" s="91" t="s">
        <v>640</v>
      </c>
      <c r="C202" s="91" t="s">
        <v>635</v>
      </c>
      <c r="D202" s="44">
        <v>45110</v>
      </c>
      <c r="E202" s="109"/>
      <c r="F202" s="58"/>
      <c r="G202" s="58"/>
      <c r="H202" s="58"/>
      <c r="I202" s="58"/>
      <c r="J202" s="58"/>
      <c r="K202" s="58">
        <f>F202-E202</f>
        <v>0</v>
      </c>
      <c r="L202" s="58">
        <f>H202-G202</f>
        <v>0</v>
      </c>
      <c r="M202" s="58">
        <f>J202-I202</f>
        <v>0</v>
      </c>
      <c r="N202" s="58">
        <f>K202+L202+M202</f>
        <v>0</v>
      </c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</row>
    <row r="203" spans="1:30" x14ac:dyDescent="0.25">
      <c r="B203" s="91" t="s">
        <v>432</v>
      </c>
      <c r="C203" s="91" t="s">
        <v>563</v>
      </c>
      <c r="D203" s="126">
        <v>44682</v>
      </c>
      <c r="E203" s="103">
        <v>45536</v>
      </c>
      <c r="F203" s="103">
        <v>45596</v>
      </c>
      <c r="G203" s="58"/>
      <c r="H203" s="58"/>
      <c r="I203" s="58"/>
      <c r="J203" s="58"/>
      <c r="K203" s="58">
        <f>F203-E203</f>
        <v>60</v>
      </c>
      <c r="L203" s="58">
        <f>H203-G203</f>
        <v>0</v>
      </c>
      <c r="M203" s="58">
        <f>J203-I203</f>
        <v>0</v>
      </c>
      <c r="N203" s="58">
        <f>K203+L203+M203</f>
        <v>60</v>
      </c>
      <c r="O203" s="58"/>
    </row>
    <row r="204" spans="1:30" x14ac:dyDescent="0.25">
      <c r="B204" s="91" t="s">
        <v>425</v>
      </c>
      <c r="C204" s="91" t="s">
        <v>556</v>
      </c>
      <c r="D204" s="126">
        <v>44562</v>
      </c>
      <c r="E204" s="103">
        <v>45542</v>
      </c>
      <c r="F204" s="103"/>
      <c r="G204" s="58"/>
      <c r="H204" s="58"/>
      <c r="I204" s="58"/>
      <c r="J204" s="58"/>
      <c r="K204" s="58">
        <f>F204-E204</f>
        <v>-45542</v>
      </c>
      <c r="L204" s="58">
        <f>H204-G204</f>
        <v>0</v>
      </c>
      <c r="M204" s="58">
        <f>J204-I204</f>
        <v>0</v>
      </c>
      <c r="N204" s="58">
        <f>K204+L204+M204</f>
        <v>-45542</v>
      </c>
      <c r="O204" s="58"/>
    </row>
  </sheetData>
  <mergeCells count="4">
    <mergeCell ref="D1:E1"/>
    <mergeCell ref="F1:G1"/>
    <mergeCell ref="H1:I1"/>
    <mergeCell ref="H180:J180"/>
  </mergeCells>
  <conditionalFormatting sqref="Y176:Y201">
    <cfRule type="cellIs" dxfId="0" priority="1" operator="greaterThan">
      <formula>30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2"/>
  <sheetViews>
    <sheetView workbookViewId="0">
      <pane ySplit="1" topLeftCell="A2" activePane="bottomLeft" state="frozen"/>
      <selection pane="bottomLeft" activeCell="D17" sqref="D17:E17"/>
    </sheetView>
  </sheetViews>
  <sheetFormatPr defaultRowHeight="15" x14ac:dyDescent="0.25"/>
  <cols>
    <col min="1" max="1" width="12" style="88" customWidth="1"/>
    <col min="2" max="2" width="57.5703125" style="88" customWidth="1"/>
    <col min="3" max="3" width="14.42578125" style="88" customWidth="1"/>
    <col min="4" max="4" width="11.28515625" style="88" customWidth="1"/>
    <col min="5" max="6" width="12" style="88" customWidth="1"/>
    <col min="7" max="7" width="10.7109375" style="88" customWidth="1"/>
    <col min="8" max="8" width="11.28515625" style="88" customWidth="1"/>
    <col min="9" max="9" width="13" style="88" customWidth="1"/>
    <col min="10" max="10" width="11.28515625" style="88" customWidth="1"/>
    <col min="11" max="11" width="14" style="88" customWidth="1"/>
    <col min="12" max="12" width="7.42578125" style="88" customWidth="1"/>
    <col min="13" max="13" width="5.85546875" style="88" customWidth="1"/>
    <col min="14" max="14" width="6.140625" style="88" customWidth="1"/>
    <col min="15" max="15" width="5.5703125" style="88" customWidth="1"/>
    <col min="16" max="16" width="8" style="88" customWidth="1"/>
    <col min="17" max="17" width="8.28515625" style="88" customWidth="1"/>
    <col min="18" max="16384" width="9.140625" style="88"/>
  </cols>
  <sheetData>
    <row r="1" spans="1:17" ht="27.75" customHeight="1" x14ac:dyDescent="0.25">
      <c r="A1" s="90" t="s">
        <v>600</v>
      </c>
      <c r="B1" s="90" t="s">
        <v>126</v>
      </c>
      <c r="C1" s="73" t="s">
        <v>131</v>
      </c>
      <c r="D1" s="147" t="s">
        <v>127</v>
      </c>
      <c r="E1" s="147"/>
      <c r="F1" s="147" t="s">
        <v>128</v>
      </c>
      <c r="G1" s="147"/>
      <c r="H1" s="147" t="s">
        <v>215</v>
      </c>
      <c r="I1" s="147"/>
      <c r="J1" s="147" t="s">
        <v>215</v>
      </c>
      <c r="K1" s="147"/>
      <c r="L1" s="118">
        <v>1</v>
      </c>
      <c r="M1" s="118">
        <v>2</v>
      </c>
      <c r="N1" s="118">
        <v>3</v>
      </c>
      <c r="O1" s="118">
        <v>4</v>
      </c>
      <c r="P1" s="118" t="s">
        <v>72</v>
      </c>
      <c r="Q1" s="118" t="s">
        <v>378</v>
      </c>
    </row>
    <row r="2" spans="1:17" x14ac:dyDescent="0.25">
      <c r="A2" s="91" t="s">
        <v>480</v>
      </c>
      <c r="B2" s="91" t="s">
        <v>490</v>
      </c>
      <c r="C2" s="74">
        <v>39295</v>
      </c>
      <c r="D2" s="103">
        <v>45137</v>
      </c>
      <c r="E2" s="103">
        <v>45161</v>
      </c>
      <c r="F2" s="103">
        <v>45176</v>
      </c>
      <c r="G2" s="103">
        <v>45188</v>
      </c>
      <c r="H2" s="103"/>
      <c r="I2" s="103"/>
      <c r="J2" s="103"/>
      <c r="K2" s="103"/>
      <c r="L2" s="58">
        <f t="shared" ref="L2:L60" si="0">E2-D2</f>
        <v>24</v>
      </c>
      <c r="M2" s="58">
        <f>G2-F2</f>
        <v>12</v>
      </c>
      <c r="N2" s="58">
        <f t="shared" ref="N2:O8" si="1">I2-H2</f>
        <v>0</v>
      </c>
      <c r="O2" s="58">
        <f t="shared" si="1"/>
        <v>0</v>
      </c>
      <c r="P2" s="58">
        <f t="shared" ref="P2:P11" si="2">L2+M2+N2</f>
        <v>36</v>
      </c>
      <c r="Q2" s="58"/>
    </row>
    <row r="3" spans="1:17" x14ac:dyDescent="0.25">
      <c r="A3" s="91" t="s">
        <v>353</v>
      </c>
      <c r="B3" s="91" t="s">
        <v>491</v>
      </c>
      <c r="C3" s="74">
        <v>41883</v>
      </c>
      <c r="D3" s="103">
        <v>45025</v>
      </c>
      <c r="E3" s="103">
        <v>45046</v>
      </c>
      <c r="F3" s="119"/>
      <c r="G3" s="119"/>
      <c r="H3" s="58"/>
      <c r="I3" s="58"/>
      <c r="J3" s="58"/>
      <c r="K3" s="58"/>
      <c r="L3" s="58">
        <f>E3-D3</f>
        <v>21</v>
      </c>
      <c r="M3" s="58">
        <f t="shared" ref="M3:M61" si="3">G3-F3</f>
        <v>0</v>
      </c>
      <c r="N3" s="58">
        <f t="shared" si="1"/>
        <v>0</v>
      </c>
      <c r="O3" s="58">
        <f t="shared" si="1"/>
        <v>0</v>
      </c>
      <c r="P3" s="58">
        <f t="shared" si="2"/>
        <v>21</v>
      </c>
      <c r="Q3" s="58"/>
    </row>
    <row r="4" spans="1:17" x14ac:dyDescent="0.25">
      <c r="A4" s="91" t="s">
        <v>354</v>
      </c>
      <c r="B4" s="91" t="s">
        <v>492</v>
      </c>
      <c r="C4" s="74">
        <v>42736</v>
      </c>
      <c r="D4" s="103"/>
      <c r="E4" s="103"/>
      <c r="F4" s="58"/>
      <c r="G4" s="58"/>
      <c r="H4" s="58"/>
      <c r="I4" s="58"/>
      <c r="J4" s="58"/>
      <c r="K4" s="58"/>
      <c r="L4" s="58">
        <f t="shared" si="0"/>
        <v>0</v>
      </c>
      <c r="M4" s="58">
        <f t="shared" si="3"/>
        <v>0</v>
      </c>
      <c r="N4" s="58">
        <f t="shared" si="1"/>
        <v>0</v>
      </c>
      <c r="O4" s="58">
        <f t="shared" si="1"/>
        <v>0</v>
      </c>
      <c r="P4" s="58">
        <f t="shared" si="2"/>
        <v>0</v>
      </c>
      <c r="Q4" s="58"/>
    </row>
    <row r="5" spans="1:17" x14ac:dyDescent="0.25">
      <c r="A5" s="91" t="s">
        <v>355</v>
      </c>
      <c r="B5" s="91" t="s">
        <v>493</v>
      </c>
      <c r="C5" s="74">
        <v>40695</v>
      </c>
      <c r="D5" s="103"/>
      <c r="E5" s="103"/>
      <c r="F5" s="103"/>
      <c r="G5" s="103"/>
      <c r="H5" s="58"/>
      <c r="I5" s="58"/>
      <c r="J5" s="58"/>
      <c r="K5" s="58"/>
      <c r="L5" s="58">
        <f t="shared" si="0"/>
        <v>0</v>
      </c>
      <c r="M5" s="58">
        <f t="shared" si="3"/>
        <v>0</v>
      </c>
      <c r="N5" s="58">
        <f t="shared" si="1"/>
        <v>0</v>
      </c>
      <c r="O5" s="58">
        <f t="shared" si="1"/>
        <v>0</v>
      </c>
      <c r="P5" s="58">
        <f t="shared" si="2"/>
        <v>0</v>
      </c>
      <c r="Q5" s="58"/>
    </row>
    <row r="6" spans="1:17" x14ac:dyDescent="0.25">
      <c r="A6" s="91" t="s">
        <v>356</v>
      </c>
      <c r="B6" s="91" t="s">
        <v>494</v>
      </c>
      <c r="C6" s="74">
        <v>44317</v>
      </c>
      <c r="D6" s="103">
        <v>45285</v>
      </c>
      <c r="E6" s="103">
        <v>45291</v>
      </c>
      <c r="F6" s="103"/>
      <c r="G6" s="103"/>
      <c r="H6" s="58"/>
      <c r="I6" s="58"/>
      <c r="J6" s="58"/>
      <c r="K6" s="58"/>
      <c r="L6" s="58">
        <f t="shared" si="0"/>
        <v>6</v>
      </c>
      <c r="M6" s="58">
        <f t="shared" si="3"/>
        <v>0</v>
      </c>
      <c r="N6" s="58">
        <f t="shared" si="1"/>
        <v>0</v>
      </c>
      <c r="O6" s="58">
        <f t="shared" si="1"/>
        <v>0</v>
      </c>
      <c r="P6" s="58">
        <f t="shared" si="2"/>
        <v>6</v>
      </c>
      <c r="Q6" s="58"/>
    </row>
    <row r="7" spans="1:17" x14ac:dyDescent="0.25">
      <c r="A7" s="91" t="s">
        <v>357</v>
      </c>
      <c r="B7" s="91" t="s">
        <v>495</v>
      </c>
      <c r="C7" s="74">
        <v>44501</v>
      </c>
      <c r="D7" s="103"/>
      <c r="E7" s="103"/>
      <c r="F7" s="103"/>
      <c r="G7" s="103"/>
      <c r="H7" s="58"/>
      <c r="I7" s="58"/>
      <c r="J7" s="58"/>
      <c r="K7" s="58"/>
      <c r="L7" s="58">
        <f t="shared" si="0"/>
        <v>0</v>
      </c>
      <c r="M7" s="58">
        <f t="shared" si="3"/>
        <v>0</v>
      </c>
      <c r="N7" s="58">
        <f t="shared" si="1"/>
        <v>0</v>
      </c>
      <c r="O7" s="58">
        <f t="shared" si="1"/>
        <v>0</v>
      </c>
      <c r="P7" s="58">
        <f t="shared" si="2"/>
        <v>0</v>
      </c>
      <c r="Q7" s="58"/>
    </row>
    <row r="8" spans="1:17" x14ac:dyDescent="0.25">
      <c r="A8" s="91" t="s">
        <v>358</v>
      </c>
      <c r="B8" s="91" t="s">
        <v>496</v>
      </c>
      <c r="C8" s="74">
        <v>44317</v>
      </c>
      <c r="D8" s="103">
        <v>45170</v>
      </c>
      <c r="E8" s="103">
        <v>45180</v>
      </c>
      <c r="F8" s="103"/>
      <c r="G8" s="103"/>
      <c r="H8" s="58"/>
      <c r="I8" s="58"/>
      <c r="J8" s="58"/>
      <c r="K8" s="58"/>
      <c r="L8" s="58">
        <f>E8-D8</f>
        <v>10</v>
      </c>
      <c r="M8" s="58">
        <f>G8-F8</f>
        <v>0</v>
      </c>
      <c r="N8" s="58">
        <f t="shared" si="1"/>
        <v>0</v>
      </c>
      <c r="O8" s="58">
        <f t="shared" si="1"/>
        <v>0</v>
      </c>
      <c r="P8" s="58">
        <f t="shared" si="2"/>
        <v>10</v>
      </c>
      <c r="Q8" s="58"/>
    </row>
    <row r="9" spans="1:17" x14ac:dyDescent="0.25">
      <c r="A9" s="91" t="s">
        <v>359</v>
      </c>
      <c r="B9" s="91" t="s">
        <v>497</v>
      </c>
      <c r="C9" s="74">
        <v>39083</v>
      </c>
      <c r="D9" s="103">
        <v>45004</v>
      </c>
      <c r="E9" s="103">
        <v>45011</v>
      </c>
      <c r="F9" s="103">
        <v>45104</v>
      </c>
      <c r="G9" s="103">
        <v>45110</v>
      </c>
      <c r="H9" s="103">
        <v>45272</v>
      </c>
      <c r="I9" s="103">
        <v>45275</v>
      </c>
      <c r="J9" s="103"/>
      <c r="K9" s="103"/>
      <c r="L9" s="58">
        <f t="shared" si="0"/>
        <v>7</v>
      </c>
      <c r="M9" s="58">
        <f t="shared" si="3"/>
        <v>6</v>
      </c>
      <c r="N9" s="58">
        <f t="shared" ref="N9:N40" si="4">I9-H9</f>
        <v>3</v>
      </c>
      <c r="O9" s="58"/>
      <c r="P9" s="58">
        <f t="shared" si="2"/>
        <v>16</v>
      </c>
      <c r="Q9" s="58"/>
    </row>
    <row r="10" spans="1:17" x14ac:dyDescent="0.25">
      <c r="A10" s="91" t="s">
        <v>360</v>
      </c>
      <c r="B10" s="91" t="s">
        <v>498</v>
      </c>
      <c r="C10" s="74">
        <v>39083</v>
      </c>
      <c r="D10" s="103">
        <v>45023</v>
      </c>
      <c r="E10" s="103">
        <v>45026</v>
      </c>
      <c r="F10" s="103">
        <v>45120</v>
      </c>
      <c r="G10" s="103">
        <v>45136</v>
      </c>
      <c r="H10" s="103"/>
      <c r="I10" s="103"/>
      <c r="J10" s="103"/>
      <c r="K10" s="103"/>
      <c r="L10" s="58">
        <f t="shared" si="0"/>
        <v>3</v>
      </c>
      <c r="M10" s="120">
        <f>G10-F10</f>
        <v>16</v>
      </c>
      <c r="N10" s="58">
        <f t="shared" si="4"/>
        <v>0</v>
      </c>
      <c r="O10" s="58">
        <f>J10-I10</f>
        <v>0</v>
      </c>
      <c r="P10" s="58">
        <f t="shared" si="2"/>
        <v>19</v>
      </c>
      <c r="Q10" s="58"/>
    </row>
    <row r="11" spans="1:17" x14ac:dyDescent="0.25">
      <c r="A11" s="91" t="s">
        <v>361</v>
      </c>
      <c r="B11" s="91" t="s">
        <v>499</v>
      </c>
      <c r="C11" s="74">
        <v>39083</v>
      </c>
      <c r="D11" s="103">
        <v>45110</v>
      </c>
      <c r="E11" s="103">
        <v>45118</v>
      </c>
      <c r="F11" s="103">
        <v>45168</v>
      </c>
      <c r="G11" s="103">
        <v>45182</v>
      </c>
      <c r="H11" s="58"/>
      <c r="I11" s="58"/>
      <c r="J11" s="58"/>
      <c r="K11" s="58"/>
      <c r="L11" s="58">
        <f t="shared" si="0"/>
        <v>8</v>
      </c>
      <c r="M11" s="58">
        <f t="shared" si="3"/>
        <v>14</v>
      </c>
      <c r="N11" s="58">
        <f t="shared" si="4"/>
        <v>0</v>
      </c>
      <c r="O11" s="58">
        <f>J11-I11</f>
        <v>0</v>
      </c>
      <c r="P11" s="58">
        <f t="shared" si="2"/>
        <v>22</v>
      </c>
      <c r="Q11" s="58"/>
    </row>
    <row r="12" spans="1:17" x14ac:dyDescent="0.25">
      <c r="A12" s="91" t="s">
        <v>362</v>
      </c>
      <c r="B12" s="91" t="s">
        <v>12</v>
      </c>
      <c r="C12" s="74">
        <v>39142</v>
      </c>
      <c r="D12" s="103">
        <v>44976</v>
      </c>
      <c r="E12" s="103">
        <v>44983</v>
      </c>
      <c r="F12" s="103">
        <v>45214</v>
      </c>
      <c r="G12" s="103">
        <v>45222</v>
      </c>
      <c r="H12" s="103">
        <v>45257</v>
      </c>
      <c r="I12" s="103">
        <v>45264</v>
      </c>
      <c r="J12" s="103">
        <v>45266</v>
      </c>
      <c r="K12" s="103">
        <v>45281</v>
      </c>
      <c r="L12" s="58">
        <f t="shared" si="0"/>
        <v>7</v>
      </c>
      <c r="M12" s="58">
        <f t="shared" si="3"/>
        <v>8</v>
      </c>
      <c r="N12" s="58">
        <f t="shared" si="4"/>
        <v>7</v>
      </c>
      <c r="O12" s="58">
        <f>K12-J12</f>
        <v>15</v>
      </c>
      <c r="P12" s="58">
        <f>L12+M12+N12+O12</f>
        <v>37</v>
      </c>
      <c r="Q12" s="58"/>
    </row>
    <row r="13" spans="1:17" x14ac:dyDescent="0.25">
      <c r="A13" s="91" t="s">
        <v>363</v>
      </c>
      <c r="B13" s="91" t="s">
        <v>500</v>
      </c>
      <c r="C13" s="85">
        <v>42036</v>
      </c>
      <c r="D13" s="103">
        <v>45266</v>
      </c>
      <c r="E13" s="103">
        <v>45271</v>
      </c>
      <c r="F13" s="103"/>
      <c r="G13" s="103"/>
      <c r="H13" s="103"/>
      <c r="I13" s="103"/>
      <c r="J13" s="103"/>
      <c r="K13" s="103"/>
      <c r="L13" s="58">
        <f t="shared" ref="L13" si="5">E13-D13</f>
        <v>5</v>
      </c>
      <c r="M13" s="58">
        <f t="shared" ref="M13" si="6">G13-F13</f>
        <v>0</v>
      </c>
      <c r="N13" s="58">
        <f t="shared" si="4"/>
        <v>0</v>
      </c>
      <c r="O13" s="58">
        <f t="shared" ref="O13:O44" si="7">J13-I13</f>
        <v>0</v>
      </c>
      <c r="P13" s="58">
        <f t="shared" ref="P13:P44" si="8">L13+M13+N13</f>
        <v>5</v>
      </c>
      <c r="Q13" s="58"/>
    </row>
    <row r="14" spans="1:17" x14ac:dyDescent="0.25">
      <c r="A14" s="91" t="s">
        <v>363</v>
      </c>
      <c r="B14" s="91" t="s">
        <v>485</v>
      </c>
      <c r="C14" s="85">
        <v>42036</v>
      </c>
      <c r="D14" s="103">
        <v>45102</v>
      </c>
      <c r="E14" s="103">
        <v>45109</v>
      </c>
      <c r="F14" s="121"/>
      <c r="G14" s="121"/>
      <c r="H14" s="121"/>
      <c r="I14" s="121"/>
      <c r="J14" s="121"/>
      <c r="K14" s="121"/>
      <c r="L14" s="89">
        <f t="shared" si="0"/>
        <v>7</v>
      </c>
      <c r="M14" s="89">
        <f t="shared" si="3"/>
        <v>0</v>
      </c>
      <c r="N14" s="89">
        <f t="shared" si="4"/>
        <v>0</v>
      </c>
      <c r="O14" s="89">
        <f t="shared" si="7"/>
        <v>0</v>
      </c>
      <c r="P14" s="89">
        <f t="shared" si="8"/>
        <v>7</v>
      </c>
      <c r="Q14" s="89"/>
    </row>
    <row r="15" spans="1:17" x14ac:dyDescent="0.25">
      <c r="A15" s="91" t="s">
        <v>364</v>
      </c>
      <c r="B15" s="91" t="s">
        <v>501</v>
      </c>
      <c r="C15" s="74">
        <v>39083</v>
      </c>
      <c r="D15" s="103">
        <v>45242</v>
      </c>
      <c r="E15" s="103">
        <v>45254</v>
      </c>
      <c r="F15" s="58"/>
      <c r="G15" s="58"/>
      <c r="H15" s="58"/>
      <c r="I15" s="58"/>
      <c r="J15" s="58"/>
      <c r="K15" s="58"/>
      <c r="L15" s="58">
        <f>E15-D15</f>
        <v>12</v>
      </c>
      <c r="M15" s="58">
        <f t="shared" si="3"/>
        <v>0</v>
      </c>
      <c r="N15" s="58">
        <f t="shared" si="4"/>
        <v>0</v>
      </c>
      <c r="O15" s="58">
        <f t="shared" si="7"/>
        <v>0</v>
      </c>
      <c r="P15" s="58">
        <f t="shared" si="8"/>
        <v>12</v>
      </c>
      <c r="Q15" s="58"/>
    </row>
    <row r="16" spans="1:17" x14ac:dyDescent="0.25">
      <c r="A16" s="91" t="s">
        <v>365</v>
      </c>
      <c r="B16" s="91" t="s">
        <v>502</v>
      </c>
      <c r="C16" s="74">
        <v>41334</v>
      </c>
      <c r="D16" s="103"/>
      <c r="E16" s="103"/>
      <c r="F16" s="58"/>
      <c r="G16" s="58"/>
      <c r="H16" s="58"/>
      <c r="I16" s="58"/>
      <c r="J16" s="58"/>
      <c r="K16" s="58"/>
      <c r="L16" s="58">
        <f t="shared" si="0"/>
        <v>0</v>
      </c>
      <c r="M16" s="58">
        <f t="shared" si="3"/>
        <v>0</v>
      </c>
      <c r="N16" s="58">
        <f t="shared" si="4"/>
        <v>0</v>
      </c>
      <c r="O16" s="58">
        <f t="shared" si="7"/>
        <v>0</v>
      </c>
      <c r="P16" s="58">
        <f t="shared" si="8"/>
        <v>0</v>
      </c>
      <c r="Q16" s="58"/>
    </row>
    <row r="17" spans="1:17" x14ac:dyDescent="0.25">
      <c r="A17" s="91" t="s">
        <v>366</v>
      </c>
      <c r="B17" s="91" t="s">
        <v>503</v>
      </c>
      <c r="C17" s="75">
        <v>40483</v>
      </c>
      <c r="D17" s="103">
        <v>45138</v>
      </c>
      <c r="E17" s="103">
        <v>45173</v>
      </c>
      <c r="F17" s="103"/>
      <c r="G17" s="103"/>
      <c r="H17" s="58"/>
      <c r="I17" s="58"/>
      <c r="J17" s="58"/>
      <c r="K17" s="58"/>
      <c r="L17" s="58">
        <f t="shared" si="0"/>
        <v>35</v>
      </c>
      <c r="M17" s="58">
        <f t="shared" si="3"/>
        <v>0</v>
      </c>
      <c r="N17" s="58">
        <f t="shared" si="4"/>
        <v>0</v>
      </c>
      <c r="O17" s="58">
        <f t="shared" si="7"/>
        <v>0</v>
      </c>
      <c r="P17" s="58">
        <f t="shared" si="8"/>
        <v>35</v>
      </c>
      <c r="Q17" s="58"/>
    </row>
    <row r="18" spans="1:17" x14ac:dyDescent="0.25">
      <c r="A18" s="91" t="s">
        <v>367</v>
      </c>
      <c r="B18" s="91" t="s">
        <v>504</v>
      </c>
      <c r="C18" s="75">
        <v>44652</v>
      </c>
      <c r="D18" s="103">
        <v>44927</v>
      </c>
      <c r="E18" s="103">
        <v>44943</v>
      </c>
      <c r="F18" s="103"/>
      <c r="G18" s="103"/>
      <c r="H18" s="58"/>
      <c r="I18" s="58"/>
      <c r="J18" s="58"/>
      <c r="K18" s="58"/>
      <c r="L18" s="58">
        <f>E18-D18</f>
        <v>16</v>
      </c>
      <c r="M18" s="58">
        <f>G18-F18</f>
        <v>0</v>
      </c>
      <c r="N18" s="58">
        <f t="shared" si="4"/>
        <v>0</v>
      </c>
      <c r="O18" s="58">
        <f t="shared" si="7"/>
        <v>0</v>
      </c>
      <c r="P18" s="58">
        <f t="shared" si="8"/>
        <v>16</v>
      </c>
      <c r="Q18" s="58"/>
    </row>
    <row r="19" spans="1:17" x14ac:dyDescent="0.25">
      <c r="A19" s="91" t="s">
        <v>368</v>
      </c>
      <c r="B19" s="91" t="s">
        <v>505</v>
      </c>
      <c r="C19" s="75">
        <v>44652</v>
      </c>
      <c r="D19" s="103"/>
      <c r="E19" s="103"/>
      <c r="F19" s="103"/>
      <c r="G19" s="103"/>
      <c r="H19" s="58"/>
      <c r="I19" s="58"/>
      <c r="J19" s="58"/>
      <c r="K19" s="58"/>
      <c r="L19" s="58">
        <f>E19-D19</f>
        <v>0</v>
      </c>
      <c r="M19" s="58">
        <f>G19-F19</f>
        <v>0</v>
      </c>
      <c r="N19" s="58">
        <f t="shared" si="4"/>
        <v>0</v>
      </c>
      <c r="O19" s="58">
        <f t="shared" si="7"/>
        <v>0</v>
      </c>
      <c r="P19" s="58">
        <f t="shared" si="8"/>
        <v>0</v>
      </c>
      <c r="Q19" s="58"/>
    </row>
    <row r="20" spans="1:17" x14ac:dyDescent="0.25">
      <c r="A20" s="91" t="s">
        <v>369</v>
      </c>
      <c r="B20" s="91" t="s">
        <v>506</v>
      </c>
      <c r="C20" s="75">
        <v>44652</v>
      </c>
      <c r="D20" s="103"/>
      <c r="E20" s="103"/>
      <c r="F20" s="103"/>
      <c r="G20" s="103"/>
      <c r="H20" s="58"/>
      <c r="I20" s="58"/>
      <c r="J20" s="58"/>
      <c r="K20" s="58"/>
      <c r="L20" s="58">
        <f>E20-D20</f>
        <v>0</v>
      </c>
      <c r="M20" s="58">
        <f>G20-F20</f>
        <v>0</v>
      </c>
      <c r="N20" s="58">
        <f t="shared" si="4"/>
        <v>0</v>
      </c>
      <c r="O20" s="58">
        <f t="shared" si="7"/>
        <v>0</v>
      </c>
      <c r="P20" s="58">
        <f t="shared" si="8"/>
        <v>0</v>
      </c>
      <c r="Q20" s="58"/>
    </row>
    <row r="21" spans="1:17" x14ac:dyDescent="0.25">
      <c r="A21" s="91" t="s">
        <v>370</v>
      </c>
      <c r="B21" s="91" t="s">
        <v>507</v>
      </c>
      <c r="C21" s="75">
        <v>41244</v>
      </c>
      <c r="D21" s="103">
        <v>45243</v>
      </c>
      <c r="E21" s="103">
        <v>45289</v>
      </c>
      <c r="F21" s="58"/>
      <c r="G21" s="58"/>
      <c r="H21" s="58"/>
      <c r="I21" s="58"/>
      <c r="J21" s="58"/>
      <c r="K21" s="58"/>
      <c r="L21" s="58">
        <f t="shared" si="0"/>
        <v>46</v>
      </c>
      <c r="M21" s="58">
        <f t="shared" si="3"/>
        <v>0</v>
      </c>
      <c r="N21" s="58">
        <f t="shared" si="4"/>
        <v>0</v>
      </c>
      <c r="O21" s="58">
        <f t="shared" si="7"/>
        <v>0</v>
      </c>
      <c r="P21" s="58">
        <f t="shared" si="8"/>
        <v>46</v>
      </c>
      <c r="Q21" s="58"/>
    </row>
    <row r="22" spans="1:17" x14ac:dyDescent="0.25">
      <c r="A22" s="91" t="s">
        <v>371</v>
      </c>
      <c r="B22" s="91" t="s">
        <v>508</v>
      </c>
      <c r="C22" s="75">
        <v>41518</v>
      </c>
      <c r="D22" s="103"/>
      <c r="E22" s="103"/>
      <c r="F22" s="58"/>
      <c r="G22" s="58"/>
      <c r="H22" s="58"/>
      <c r="I22" s="58"/>
      <c r="J22" s="58"/>
      <c r="K22" s="58"/>
      <c r="L22" s="58">
        <f t="shared" si="0"/>
        <v>0</v>
      </c>
      <c r="M22" s="58">
        <f t="shared" si="3"/>
        <v>0</v>
      </c>
      <c r="N22" s="58">
        <f t="shared" si="4"/>
        <v>0</v>
      </c>
      <c r="O22" s="58">
        <f t="shared" si="7"/>
        <v>0</v>
      </c>
      <c r="P22" s="58">
        <f t="shared" si="8"/>
        <v>0</v>
      </c>
      <c r="Q22" s="58"/>
    </row>
    <row r="23" spans="1:17" x14ac:dyDescent="0.25">
      <c r="A23" s="91" t="s">
        <v>372</v>
      </c>
      <c r="B23" s="91" t="s">
        <v>509</v>
      </c>
      <c r="C23" s="75">
        <v>41883</v>
      </c>
      <c r="D23" s="103">
        <v>45232</v>
      </c>
      <c r="E23" s="103">
        <v>45262</v>
      </c>
      <c r="F23" s="103"/>
      <c r="G23" s="103"/>
      <c r="H23" s="58"/>
      <c r="I23" s="58"/>
      <c r="J23" s="58"/>
      <c r="K23" s="58"/>
      <c r="L23" s="58">
        <f t="shared" si="0"/>
        <v>30</v>
      </c>
      <c r="M23" s="58">
        <f t="shared" si="3"/>
        <v>0</v>
      </c>
      <c r="N23" s="58">
        <f t="shared" si="4"/>
        <v>0</v>
      </c>
      <c r="O23" s="58">
        <f t="shared" si="7"/>
        <v>0</v>
      </c>
      <c r="P23" s="58">
        <f t="shared" si="8"/>
        <v>30</v>
      </c>
      <c r="Q23" s="58"/>
    </row>
    <row r="24" spans="1:17" x14ac:dyDescent="0.25">
      <c r="A24" s="91" t="s">
        <v>373</v>
      </c>
      <c r="B24" s="91" t="s">
        <v>510</v>
      </c>
      <c r="C24" s="75">
        <v>41913</v>
      </c>
      <c r="D24" s="103">
        <v>45142</v>
      </c>
      <c r="E24" s="103">
        <v>45199</v>
      </c>
      <c r="F24" s="58"/>
      <c r="G24" s="58"/>
      <c r="H24" s="58"/>
      <c r="I24" s="58"/>
      <c r="J24" s="58"/>
      <c r="K24" s="58"/>
      <c r="L24" s="58">
        <f>E24-D24</f>
        <v>57</v>
      </c>
      <c r="M24" s="58">
        <f t="shared" si="3"/>
        <v>0</v>
      </c>
      <c r="N24" s="58">
        <f t="shared" si="4"/>
        <v>0</v>
      </c>
      <c r="O24" s="58">
        <f t="shared" si="7"/>
        <v>0</v>
      </c>
      <c r="P24" s="58">
        <f t="shared" si="8"/>
        <v>57</v>
      </c>
      <c r="Q24" s="58"/>
    </row>
    <row r="25" spans="1:17" x14ac:dyDescent="0.25">
      <c r="A25" s="91" t="s">
        <v>374</v>
      </c>
      <c r="B25" s="91" t="s">
        <v>511</v>
      </c>
      <c r="C25" s="76">
        <v>42005</v>
      </c>
      <c r="D25" s="103"/>
      <c r="E25" s="103"/>
      <c r="F25" s="103"/>
      <c r="G25" s="103"/>
      <c r="H25" s="58"/>
      <c r="I25" s="58"/>
      <c r="J25" s="58"/>
      <c r="K25" s="58"/>
      <c r="L25" s="58">
        <f t="shared" si="0"/>
        <v>0</v>
      </c>
      <c r="M25" s="58">
        <f t="shared" si="3"/>
        <v>0</v>
      </c>
      <c r="N25" s="58">
        <f t="shared" si="4"/>
        <v>0</v>
      </c>
      <c r="O25" s="58">
        <f t="shared" si="7"/>
        <v>0</v>
      </c>
      <c r="P25" s="58">
        <f t="shared" si="8"/>
        <v>0</v>
      </c>
      <c r="Q25" s="58"/>
    </row>
    <row r="26" spans="1:17" x14ac:dyDescent="0.25">
      <c r="A26" s="91" t="s">
        <v>375</v>
      </c>
      <c r="B26" s="91" t="s">
        <v>512</v>
      </c>
      <c r="C26" s="75">
        <v>41760</v>
      </c>
      <c r="D26" s="103">
        <v>45078</v>
      </c>
      <c r="E26" s="103">
        <v>45139</v>
      </c>
      <c r="F26" s="58"/>
      <c r="G26" s="58"/>
      <c r="H26" s="58"/>
      <c r="I26" s="58"/>
      <c r="J26" s="58"/>
      <c r="K26" s="58"/>
      <c r="L26" s="58">
        <f t="shared" si="0"/>
        <v>61</v>
      </c>
      <c r="M26" s="58">
        <f t="shared" si="3"/>
        <v>0</v>
      </c>
      <c r="N26" s="58">
        <f t="shared" si="4"/>
        <v>0</v>
      </c>
      <c r="O26" s="58">
        <f t="shared" si="7"/>
        <v>0</v>
      </c>
      <c r="P26" s="58">
        <f t="shared" si="8"/>
        <v>61</v>
      </c>
      <c r="Q26" s="58"/>
    </row>
    <row r="27" spans="1:17" x14ac:dyDescent="0.25">
      <c r="A27" s="91" t="s">
        <v>376</v>
      </c>
      <c r="B27" s="91" t="s">
        <v>513</v>
      </c>
      <c r="C27" s="75">
        <v>41760</v>
      </c>
      <c r="D27" s="103"/>
      <c r="E27" s="103"/>
      <c r="F27" s="58"/>
      <c r="G27" s="58"/>
      <c r="H27" s="58"/>
      <c r="I27" s="58"/>
      <c r="J27" s="58"/>
      <c r="K27" s="58"/>
      <c r="L27" s="58">
        <f t="shared" si="0"/>
        <v>0</v>
      </c>
      <c r="M27" s="58">
        <f t="shared" si="3"/>
        <v>0</v>
      </c>
      <c r="N27" s="58">
        <f t="shared" si="4"/>
        <v>0</v>
      </c>
      <c r="O27" s="58">
        <f t="shared" si="7"/>
        <v>0</v>
      </c>
      <c r="P27" s="58">
        <f t="shared" si="8"/>
        <v>0</v>
      </c>
      <c r="Q27" s="58"/>
    </row>
    <row r="28" spans="1:17" x14ac:dyDescent="0.25">
      <c r="A28" s="91" t="s">
        <v>377</v>
      </c>
      <c r="B28" s="91" t="s">
        <v>514</v>
      </c>
      <c r="C28" s="75">
        <v>40878</v>
      </c>
      <c r="D28" s="103"/>
      <c r="E28" s="103"/>
      <c r="F28" s="58"/>
      <c r="G28" s="58"/>
      <c r="H28" s="58"/>
      <c r="I28" s="58"/>
      <c r="J28" s="58"/>
      <c r="K28" s="58"/>
      <c r="L28" s="58">
        <f t="shared" si="0"/>
        <v>0</v>
      </c>
      <c r="M28" s="58">
        <f t="shared" si="3"/>
        <v>0</v>
      </c>
      <c r="N28" s="58">
        <f t="shared" si="4"/>
        <v>0</v>
      </c>
      <c r="O28" s="58">
        <f t="shared" si="7"/>
        <v>0</v>
      </c>
      <c r="P28" s="58">
        <f t="shared" si="8"/>
        <v>0</v>
      </c>
      <c r="Q28" s="58"/>
    </row>
    <row r="29" spans="1:17" x14ac:dyDescent="0.25">
      <c r="A29" s="91" t="s">
        <v>379</v>
      </c>
      <c r="B29" s="91" t="s">
        <v>515</v>
      </c>
      <c r="C29" s="75">
        <v>42430</v>
      </c>
      <c r="D29" s="103">
        <v>45222</v>
      </c>
      <c r="E29" s="103">
        <v>45267</v>
      </c>
      <c r="F29" s="58"/>
      <c r="G29" s="58"/>
      <c r="H29" s="58"/>
      <c r="I29" s="58"/>
      <c r="J29" s="58"/>
      <c r="K29" s="58"/>
      <c r="L29" s="58">
        <f t="shared" si="0"/>
        <v>45</v>
      </c>
      <c r="M29" s="58">
        <f t="shared" si="3"/>
        <v>0</v>
      </c>
      <c r="N29" s="58">
        <f t="shared" si="4"/>
        <v>0</v>
      </c>
      <c r="O29" s="58">
        <f t="shared" si="7"/>
        <v>0</v>
      </c>
      <c r="P29" s="58">
        <f t="shared" si="8"/>
        <v>45</v>
      </c>
      <c r="Q29" s="58"/>
    </row>
    <row r="30" spans="1:17" x14ac:dyDescent="0.25">
      <c r="A30" s="91" t="s">
        <v>380</v>
      </c>
      <c r="B30" s="91" t="s">
        <v>516</v>
      </c>
      <c r="C30" s="75">
        <v>42522</v>
      </c>
      <c r="D30" s="103">
        <v>45040</v>
      </c>
      <c r="E30" s="103">
        <v>45071</v>
      </c>
      <c r="F30" s="58"/>
      <c r="G30" s="58"/>
      <c r="H30" s="58"/>
      <c r="I30" s="58"/>
      <c r="J30" s="58"/>
      <c r="K30" s="58"/>
      <c r="L30" s="58">
        <f t="shared" si="0"/>
        <v>31</v>
      </c>
      <c r="M30" s="58">
        <f t="shared" si="3"/>
        <v>0</v>
      </c>
      <c r="N30" s="58">
        <f t="shared" si="4"/>
        <v>0</v>
      </c>
      <c r="O30" s="58">
        <f t="shared" si="7"/>
        <v>0</v>
      </c>
      <c r="P30" s="58">
        <f t="shared" si="8"/>
        <v>31</v>
      </c>
      <c r="Q30" s="58"/>
    </row>
    <row r="31" spans="1:17" x14ac:dyDescent="0.25">
      <c r="A31" s="91" t="s">
        <v>381</v>
      </c>
      <c r="B31" s="91" t="s">
        <v>517</v>
      </c>
      <c r="C31" s="75">
        <v>42614</v>
      </c>
      <c r="D31" s="103"/>
      <c r="E31" s="103"/>
      <c r="F31" s="58"/>
      <c r="G31" s="58"/>
      <c r="H31" s="58"/>
      <c r="I31" s="58"/>
      <c r="J31" s="58"/>
      <c r="K31" s="58"/>
      <c r="L31" s="58">
        <f t="shared" si="0"/>
        <v>0</v>
      </c>
      <c r="M31" s="58">
        <f t="shared" si="3"/>
        <v>0</v>
      </c>
      <c r="N31" s="58">
        <f t="shared" si="4"/>
        <v>0</v>
      </c>
      <c r="O31" s="58">
        <f t="shared" si="7"/>
        <v>0</v>
      </c>
      <c r="P31" s="58">
        <f t="shared" si="8"/>
        <v>0</v>
      </c>
      <c r="Q31" s="58"/>
    </row>
    <row r="32" spans="1:17" x14ac:dyDescent="0.25">
      <c r="A32" s="91" t="s">
        <v>382</v>
      </c>
      <c r="B32" s="91" t="s">
        <v>518</v>
      </c>
      <c r="C32" s="75">
        <v>42644</v>
      </c>
      <c r="D32" s="103">
        <v>44926</v>
      </c>
      <c r="E32" s="103">
        <v>44982</v>
      </c>
      <c r="F32" s="58"/>
      <c r="G32" s="58"/>
      <c r="H32" s="58"/>
      <c r="I32" s="58"/>
      <c r="J32" s="58"/>
      <c r="K32" s="58"/>
      <c r="L32" s="58">
        <f t="shared" si="0"/>
        <v>56</v>
      </c>
      <c r="M32" s="58">
        <f t="shared" si="3"/>
        <v>0</v>
      </c>
      <c r="N32" s="58">
        <f t="shared" si="4"/>
        <v>0</v>
      </c>
      <c r="O32" s="58">
        <f t="shared" si="7"/>
        <v>0</v>
      </c>
      <c r="P32" s="58">
        <f t="shared" si="8"/>
        <v>56</v>
      </c>
      <c r="Q32" s="58"/>
    </row>
    <row r="33" spans="1:17" x14ac:dyDescent="0.25">
      <c r="A33" s="91" t="s">
        <v>383</v>
      </c>
      <c r="B33" s="91" t="s">
        <v>519</v>
      </c>
      <c r="C33" s="75">
        <v>42675</v>
      </c>
      <c r="D33" s="103"/>
      <c r="E33" s="103"/>
      <c r="F33" s="58"/>
      <c r="G33" s="58"/>
      <c r="H33" s="58"/>
      <c r="I33" s="58"/>
      <c r="J33" s="58"/>
      <c r="K33" s="58"/>
      <c r="L33" s="58">
        <f t="shared" si="0"/>
        <v>0</v>
      </c>
      <c r="M33" s="58">
        <f t="shared" si="3"/>
        <v>0</v>
      </c>
      <c r="N33" s="58">
        <f t="shared" si="4"/>
        <v>0</v>
      </c>
      <c r="O33" s="58">
        <f t="shared" si="7"/>
        <v>0</v>
      </c>
      <c r="P33" s="58">
        <f t="shared" si="8"/>
        <v>0</v>
      </c>
      <c r="Q33" s="58"/>
    </row>
    <row r="34" spans="1:17" x14ac:dyDescent="0.25">
      <c r="A34" s="91" t="s">
        <v>676</v>
      </c>
      <c r="B34" s="91" t="s">
        <v>675</v>
      </c>
      <c r="C34" s="75">
        <v>42948</v>
      </c>
      <c r="D34" s="103"/>
      <c r="E34" s="103"/>
      <c r="F34" s="58"/>
      <c r="G34" s="58"/>
      <c r="H34" s="58"/>
      <c r="I34" s="58"/>
      <c r="J34" s="58"/>
      <c r="K34" s="58"/>
      <c r="L34" s="58">
        <f>E34-D34</f>
        <v>0</v>
      </c>
      <c r="M34" s="58">
        <f t="shared" si="3"/>
        <v>0</v>
      </c>
      <c r="N34" s="58">
        <f t="shared" si="4"/>
        <v>0</v>
      </c>
      <c r="O34" s="58">
        <f t="shared" si="7"/>
        <v>0</v>
      </c>
      <c r="P34" s="58">
        <f t="shared" si="8"/>
        <v>0</v>
      </c>
      <c r="Q34" s="58"/>
    </row>
    <row r="35" spans="1:17" x14ac:dyDescent="0.25">
      <c r="A35" s="91" t="s">
        <v>385</v>
      </c>
      <c r="B35" s="91" t="s">
        <v>520</v>
      </c>
      <c r="C35" s="75">
        <v>42948</v>
      </c>
      <c r="D35" s="103">
        <v>44927</v>
      </c>
      <c r="E35" s="103">
        <v>44930</v>
      </c>
      <c r="F35" s="58"/>
      <c r="G35" s="58"/>
      <c r="H35" s="58"/>
      <c r="I35" s="58"/>
      <c r="J35" s="58"/>
      <c r="K35" s="58"/>
      <c r="L35" s="58">
        <f t="shared" si="0"/>
        <v>3</v>
      </c>
      <c r="M35" s="58">
        <f t="shared" si="3"/>
        <v>0</v>
      </c>
      <c r="N35" s="58">
        <f t="shared" si="4"/>
        <v>0</v>
      </c>
      <c r="O35" s="58">
        <f t="shared" si="7"/>
        <v>0</v>
      </c>
      <c r="P35" s="58">
        <f t="shared" si="8"/>
        <v>3</v>
      </c>
      <c r="Q35" s="58"/>
    </row>
    <row r="36" spans="1:17" x14ac:dyDescent="0.25">
      <c r="A36" s="91" t="s">
        <v>386</v>
      </c>
      <c r="B36" s="91" t="s">
        <v>244</v>
      </c>
      <c r="C36" s="75">
        <v>42979</v>
      </c>
      <c r="D36" s="103">
        <v>45043</v>
      </c>
      <c r="E36" s="103">
        <v>45077</v>
      </c>
      <c r="F36" s="58"/>
      <c r="G36" s="58"/>
      <c r="H36" s="58"/>
      <c r="I36" s="58"/>
      <c r="J36" s="58"/>
      <c r="K36" s="58"/>
      <c r="L36" s="58">
        <f t="shared" si="0"/>
        <v>34</v>
      </c>
      <c r="M36" s="58">
        <f t="shared" si="3"/>
        <v>0</v>
      </c>
      <c r="N36" s="58">
        <f t="shared" si="4"/>
        <v>0</v>
      </c>
      <c r="O36" s="58">
        <f t="shared" si="7"/>
        <v>0</v>
      </c>
      <c r="P36" s="58">
        <f t="shared" si="8"/>
        <v>34</v>
      </c>
      <c r="Q36" s="58"/>
    </row>
    <row r="37" spans="1:17" x14ac:dyDescent="0.25">
      <c r="A37" s="91" t="s">
        <v>387</v>
      </c>
      <c r="B37" s="91" t="s">
        <v>521</v>
      </c>
      <c r="C37" s="75">
        <v>43101</v>
      </c>
      <c r="D37" s="103">
        <v>44992</v>
      </c>
      <c r="E37" s="103">
        <v>45020</v>
      </c>
      <c r="F37" s="58"/>
      <c r="G37" s="58"/>
      <c r="H37" s="58"/>
      <c r="I37" s="58"/>
      <c r="J37" s="58"/>
      <c r="K37" s="58"/>
      <c r="L37" s="58">
        <f t="shared" si="0"/>
        <v>28</v>
      </c>
      <c r="M37" s="58">
        <f t="shared" si="3"/>
        <v>0</v>
      </c>
      <c r="N37" s="58">
        <f t="shared" si="4"/>
        <v>0</v>
      </c>
      <c r="O37" s="58">
        <f t="shared" si="7"/>
        <v>0</v>
      </c>
      <c r="P37" s="58">
        <f t="shared" si="8"/>
        <v>28</v>
      </c>
      <c r="Q37" s="58"/>
    </row>
    <row r="38" spans="1:17" x14ac:dyDescent="0.25">
      <c r="A38" s="91" t="s">
        <v>388</v>
      </c>
      <c r="B38" s="91" t="s">
        <v>522</v>
      </c>
      <c r="C38" s="75">
        <v>43101</v>
      </c>
      <c r="D38" s="103"/>
      <c r="E38" s="103"/>
      <c r="F38" s="103"/>
      <c r="G38" s="103"/>
      <c r="H38" s="58"/>
      <c r="I38" s="58"/>
      <c r="J38" s="58"/>
      <c r="K38" s="58"/>
      <c r="L38" s="58">
        <f t="shared" si="0"/>
        <v>0</v>
      </c>
      <c r="M38" s="58">
        <f t="shared" si="3"/>
        <v>0</v>
      </c>
      <c r="N38" s="58">
        <f t="shared" si="4"/>
        <v>0</v>
      </c>
      <c r="O38" s="58">
        <f t="shared" si="7"/>
        <v>0</v>
      </c>
      <c r="P38" s="58">
        <f t="shared" si="8"/>
        <v>0</v>
      </c>
      <c r="Q38" s="58"/>
    </row>
    <row r="39" spans="1:17" x14ac:dyDescent="0.25">
      <c r="A39" s="91" t="s">
        <v>389</v>
      </c>
      <c r="B39" s="91" t="s">
        <v>523</v>
      </c>
      <c r="C39" s="75">
        <v>43132</v>
      </c>
      <c r="D39" s="103"/>
      <c r="E39" s="103"/>
      <c r="F39" s="58"/>
      <c r="G39" s="58"/>
      <c r="H39" s="58"/>
      <c r="I39" s="58"/>
      <c r="J39" s="58"/>
      <c r="K39" s="58"/>
      <c r="L39" s="58">
        <f t="shared" si="0"/>
        <v>0</v>
      </c>
      <c r="M39" s="58">
        <f t="shared" si="3"/>
        <v>0</v>
      </c>
      <c r="N39" s="58">
        <f t="shared" si="4"/>
        <v>0</v>
      </c>
      <c r="O39" s="58">
        <f t="shared" si="7"/>
        <v>0</v>
      </c>
      <c r="P39" s="58">
        <f t="shared" si="8"/>
        <v>0</v>
      </c>
      <c r="Q39" s="58"/>
    </row>
    <row r="40" spans="1:17" x14ac:dyDescent="0.25">
      <c r="A40" s="91" t="s">
        <v>390</v>
      </c>
      <c r="B40" s="91" t="s">
        <v>524</v>
      </c>
      <c r="C40" s="75">
        <v>43191</v>
      </c>
      <c r="D40" s="103">
        <v>44926</v>
      </c>
      <c r="E40" s="103">
        <v>44989</v>
      </c>
      <c r="F40" s="58"/>
      <c r="G40" s="58"/>
      <c r="H40" s="58"/>
      <c r="I40" s="58"/>
      <c r="J40" s="58"/>
      <c r="K40" s="58"/>
      <c r="L40" s="58">
        <f t="shared" si="0"/>
        <v>63</v>
      </c>
      <c r="M40" s="58">
        <f t="shared" si="3"/>
        <v>0</v>
      </c>
      <c r="N40" s="58">
        <f t="shared" si="4"/>
        <v>0</v>
      </c>
      <c r="O40" s="58">
        <f t="shared" si="7"/>
        <v>0</v>
      </c>
      <c r="P40" s="58">
        <f t="shared" si="8"/>
        <v>63</v>
      </c>
      <c r="Q40" s="58"/>
    </row>
    <row r="41" spans="1:17" x14ac:dyDescent="0.25">
      <c r="A41" s="91" t="s">
        <v>391</v>
      </c>
      <c r="B41" s="91" t="s">
        <v>525</v>
      </c>
      <c r="C41" s="75">
        <v>43282</v>
      </c>
      <c r="D41" s="103">
        <v>45238</v>
      </c>
      <c r="E41" s="103">
        <v>45262</v>
      </c>
      <c r="F41" s="58"/>
      <c r="G41" s="58"/>
      <c r="H41" s="58"/>
      <c r="I41" s="58"/>
      <c r="J41" s="58"/>
      <c r="K41" s="58"/>
      <c r="L41" s="58">
        <f t="shared" si="0"/>
        <v>24</v>
      </c>
      <c r="M41" s="58">
        <f t="shared" si="3"/>
        <v>0</v>
      </c>
      <c r="N41" s="58">
        <f t="shared" ref="N41:N72" si="9">I41-H41</f>
        <v>0</v>
      </c>
      <c r="O41" s="58">
        <f t="shared" si="7"/>
        <v>0</v>
      </c>
      <c r="P41" s="58">
        <f t="shared" si="8"/>
        <v>24</v>
      </c>
      <c r="Q41" s="58"/>
    </row>
    <row r="42" spans="1:17" x14ac:dyDescent="0.25">
      <c r="A42" s="91" t="s">
        <v>392</v>
      </c>
      <c r="B42" s="91" t="s">
        <v>526</v>
      </c>
      <c r="C42" s="75">
        <v>43282</v>
      </c>
      <c r="D42" s="103">
        <v>45240</v>
      </c>
      <c r="E42" s="103">
        <v>45291</v>
      </c>
      <c r="F42" s="58"/>
      <c r="G42" s="58"/>
      <c r="H42" s="58"/>
      <c r="I42" s="58"/>
      <c r="J42" s="58"/>
      <c r="K42" s="58"/>
      <c r="L42" s="58">
        <f t="shared" si="0"/>
        <v>51</v>
      </c>
      <c r="M42" s="58">
        <f t="shared" si="3"/>
        <v>0</v>
      </c>
      <c r="N42" s="58">
        <f t="shared" si="9"/>
        <v>0</v>
      </c>
      <c r="O42" s="58">
        <f t="shared" si="7"/>
        <v>0</v>
      </c>
      <c r="P42" s="58">
        <f t="shared" si="8"/>
        <v>51</v>
      </c>
      <c r="Q42" s="58"/>
    </row>
    <row r="43" spans="1:17" x14ac:dyDescent="0.25">
      <c r="A43" s="91" t="s">
        <v>393</v>
      </c>
      <c r="B43" s="91" t="s">
        <v>527</v>
      </c>
      <c r="C43" s="75">
        <v>43466</v>
      </c>
      <c r="D43" s="103"/>
      <c r="E43" s="103"/>
      <c r="F43" s="58"/>
      <c r="G43" s="58"/>
      <c r="H43" s="58"/>
      <c r="I43" s="58"/>
      <c r="J43" s="58"/>
      <c r="K43" s="58"/>
      <c r="L43" s="58">
        <f t="shared" si="0"/>
        <v>0</v>
      </c>
      <c r="M43" s="58">
        <f t="shared" si="3"/>
        <v>0</v>
      </c>
      <c r="N43" s="58">
        <f t="shared" si="9"/>
        <v>0</v>
      </c>
      <c r="O43" s="58">
        <f t="shared" si="7"/>
        <v>0</v>
      </c>
      <c r="P43" s="58">
        <f t="shared" si="8"/>
        <v>0</v>
      </c>
      <c r="Q43" s="58"/>
    </row>
    <row r="44" spans="1:17" x14ac:dyDescent="0.25">
      <c r="A44" s="91" t="s">
        <v>394</v>
      </c>
      <c r="B44" s="91" t="s">
        <v>528</v>
      </c>
      <c r="C44" s="75">
        <v>43497</v>
      </c>
      <c r="D44" s="103"/>
      <c r="E44" s="103"/>
      <c r="F44" s="58"/>
      <c r="G44" s="58"/>
      <c r="H44" s="58"/>
      <c r="I44" s="58"/>
      <c r="J44" s="58"/>
      <c r="K44" s="58"/>
      <c r="L44" s="58">
        <f t="shared" si="0"/>
        <v>0</v>
      </c>
      <c r="M44" s="58">
        <f t="shared" si="3"/>
        <v>0</v>
      </c>
      <c r="N44" s="58">
        <f t="shared" si="9"/>
        <v>0</v>
      </c>
      <c r="O44" s="58">
        <f t="shared" si="7"/>
        <v>0</v>
      </c>
      <c r="P44" s="58">
        <f t="shared" si="8"/>
        <v>0</v>
      </c>
      <c r="Q44" s="58"/>
    </row>
    <row r="45" spans="1:17" x14ac:dyDescent="0.25">
      <c r="A45" s="91" t="s">
        <v>395</v>
      </c>
      <c r="B45" s="91" t="s">
        <v>529</v>
      </c>
      <c r="C45" s="75">
        <v>43556</v>
      </c>
      <c r="D45" s="103">
        <v>45152</v>
      </c>
      <c r="E45" s="103">
        <v>45213</v>
      </c>
      <c r="F45" s="58"/>
      <c r="G45" s="58"/>
      <c r="H45" s="58"/>
      <c r="I45" s="58"/>
      <c r="J45" s="58"/>
      <c r="K45" s="58"/>
      <c r="L45" s="58">
        <f t="shared" si="0"/>
        <v>61</v>
      </c>
      <c r="M45" s="58">
        <f t="shared" si="3"/>
        <v>0</v>
      </c>
      <c r="N45" s="58">
        <f t="shared" si="9"/>
        <v>0</v>
      </c>
      <c r="O45" s="58">
        <f t="shared" ref="O45:O76" si="10">J45-I45</f>
        <v>0</v>
      </c>
      <c r="P45" s="58">
        <f t="shared" ref="P45:P76" si="11">L45+M45+N45</f>
        <v>61</v>
      </c>
      <c r="Q45" s="58"/>
    </row>
    <row r="46" spans="1:17" x14ac:dyDescent="0.25">
      <c r="A46" s="91" t="s">
        <v>396</v>
      </c>
      <c r="B46" s="91" t="s">
        <v>530</v>
      </c>
      <c r="C46" s="75">
        <v>43647</v>
      </c>
      <c r="D46" s="103"/>
      <c r="E46" s="103"/>
      <c r="F46" s="58"/>
      <c r="G46" s="58"/>
      <c r="H46" s="58"/>
      <c r="I46" s="58"/>
      <c r="J46" s="58"/>
      <c r="K46" s="58"/>
      <c r="L46" s="58">
        <f t="shared" si="0"/>
        <v>0</v>
      </c>
      <c r="M46" s="58">
        <f t="shared" si="3"/>
        <v>0</v>
      </c>
      <c r="N46" s="58">
        <f t="shared" si="9"/>
        <v>0</v>
      </c>
      <c r="O46" s="58">
        <f t="shared" si="10"/>
        <v>0</v>
      </c>
      <c r="P46" s="58">
        <f t="shared" si="11"/>
        <v>0</v>
      </c>
      <c r="Q46" s="58"/>
    </row>
    <row r="47" spans="1:17" x14ac:dyDescent="0.25">
      <c r="A47" s="91" t="s">
        <v>397</v>
      </c>
      <c r="B47" s="91" t="s">
        <v>531</v>
      </c>
      <c r="C47" s="75">
        <v>43647</v>
      </c>
      <c r="D47" s="103"/>
      <c r="E47" s="103"/>
      <c r="F47" s="58"/>
      <c r="G47" s="58"/>
      <c r="H47" s="58"/>
      <c r="I47" s="58"/>
      <c r="J47" s="58"/>
      <c r="K47" s="58"/>
      <c r="L47" s="58">
        <f t="shared" si="0"/>
        <v>0</v>
      </c>
      <c r="M47" s="58">
        <f t="shared" si="3"/>
        <v>0</v>
      </c>
      <c r="N47" s="58">
        <f t="shared" si="9"/>
        <v>0</v>
      </c>
      <c r="O47" s="58">
        <f t="shared" si="10"/>
        <v>0</v>
      </c>
      <c r="P47" s="58">
        <f t="shared" si="11"/>
        <v>0</v>
      </c>
      <c r="Q47" s="58"/>
    </row>
    <row r="48" spans="1:17" x14ac:dyDescent="0.25">
      <c r="A48" s="91" t="s">
        <v>398</v>
      </c>
      <c r="B48" s="91" t="s">
        <v>532</v>
      </c>
      <c r="C48" s="75">
        <v>43647</v>
      </c>
      <c r="D48" s="103"/>
      <c r="E48" s="103"/>
      <c r="F48" s="58"/>
      <c r="G48" s="58"/>
      <c r="H48" s="58"/>
      <c r="I48" s="58"/>
      <c r="J48" s="58"/>
      <c r="K48" s="58"/>
      <c r="L48" s="58">
        <f t="shared" si="0"/>
        <v>0</v>
      </c>
      <c r="M48" s="58">
        <f t="shared" si="3"/>
        <v>0</v>
      </c>
      <c r="N48" s="58">
        <f t="shared" si="9"/>
        <v>0</v>
      </c>
      <c r="O48" s="58">
        <f t="shared" si="10"/>
        <v>0</v>
      </c>
      <c r="P48" s="58">
        <f t="shared" si="11"/>
        <v>0</v>
      </c>
      <c r="Q48" s="58"/>
    </row>
    <row r="49" spans="1:17" x14ac:dyDescent="0.25">
      <c r="A49" s="91" t="s">
        <v>399</v>
      </c>
      <c r="B49" s="91" t="s">
        <v>533</v>
      </c>
      <c r="C49" s="75">
        <v>43617</v>
      </c>
      <c r="D49" s="103"/>
      <c r="E49" s="103"/>
      <c r="F49" s="58"/>
      <c r="G49" s="58"/>
      <c r="H49" s="58"/>
      <c r="I49" s="58"/>
      <c r="J49" s="58"/>
      <c r="K49" s="58"/>
      <c r="L49" s="58">
        <f t="shared" si="0"/>
        <v>0</v>
      </c>
      <c r="M49" s="58">
        <f t="shared" si="3"/>
        <v>0</v>
      </c>
      <c r="N49" s="58">
        <f t="shared" si="9"/>
        <v>0</v>
      </c>
      <c r="O49" s="58">
        <f t="shared" si="10"/>
        <v>0</v>
      </c>
      <c r="P49" s="58">
        <f t="shared" si="11"/>
        <v>0</v>
      </c>
      <c r="Q49" s="58"/>
    </row>
    <row r="50" spans="1:17" x14ac:dyDescent="0.25">
      <c r="A50" s="91" t="s">
        <v>400</v>
      </c>
      <c r="B50" s="91" t="s">
        <v>534</v>
      </c>
      <c r="C50" s="75">
        <v>43739</v>
      </c>
      <c r="D50" s="103">
        <v>45117</v>
      </c>
      <c r="E50" s="103">
        <v>45141</v>
      </c>
      <c r="F50" s="58"/>
      <c r="G50" s="58"/>
      <c r="H50" s="58"/>
      <c r="I50" s="58"/>
      <c r="J50" s="58"/>
      <c r="K50" s="58"/>
      <c r="L50" s="58">
        <f t="shared" si="0"/>
        <v>24</v>
      </c>
      <c r="M50" s="58">
        <f t="shared" si="3"/>
        <v>0</v>
      </c>
      <c r="N50" s="58">
        <f t="shared" si="9"/>
        <v>0</v>
      </c>
      <c r="O50" s="58">
        <f t="shared" si="10"/>
        <v>0</v>
      </c>
      <c r="P50" s="58">
        <f t="shared" si="11"/>
        <v>24</v>
      </c>
      <c r="Q50" s="58"/>
    </row>
    <row r="51" spans="1:17" x14ac:dyDescent="0.25">
      <c r="A51" s="91" t="s">
        <v>401</v>
      </c>
      <c r="B51" s="91" t="s">
        <v>535</v>
      </c>
      <c r="C51" s="75">
        <v>43800</v>
      </c>
      <c r="D51" s="103"/>
      <c r="E51" s="103"/>
      <c r="F51" s="58"/>
      <c r="G51" s="58"/>
      <c r="H51" s="58"/>
      <c r="I51" s="58"/>
      <c r="J51" s="58"/>
      <c r="K51" s="58"/>
      <c r="L51" s="58">
        <f t="shared" si="0"/>
        <v>0</v>
      </c>
      <c r="M51" s="58">
        <f t="shared" si="3"/>
        <v>0</v>
      </c>
      <c r="N51" s="58">
        <f t="shared" si="9"/>
        <v>0</v>
      </c>
      <c r="O51" s="58">
        <f t="shared" si="10"/>
        <v>0</v>
      </c>
      <c r="P51" s="58">
        <f t="shared" si="11"/>
        <v>0</v>
      </c>
      <c r="Q51" s="58"/>
    </row>
    <row r="52" spans="1:17" x14ac:dyDescent="0.25">
      <c r="A52" s="91" t="s">
        <v>402</v>
      </c>
      <c r="B52" s="91" t="s">
        <v>536</v>
      </c>
      <c r="C52" s="75">
        <v>44075</v>
      </c>
      <c r="D52" s="103">
        <v>44985</v>
      </c>
      <c r="E52" s="103">
        <v>45047</v>
      </c>
      <c r="F52" s="58"/>
      <c r="G52" s="58"/>
      <c r="H52" s="58"/>
      <c r="I52" s="58"/>
      <c r="J52" s="58"/>
      <c r="K52" s="58"/>
      <c r="L52" s="58">
        <f t="shared" si="0"/>
        <v>62</v>
      </c>
      <c r="M52" s="58">
        <f t="shared" si="3"/>
        <v>0</v>
      </c>
      <c r="N52" s="58">
        <f t="shared" si="9"/>
        <v>0</v>
      </c>
      <c r="O52" s="58">
        <f t="shared" si="10"/>
        <v>0</v>
      </c>
      <c r="P52" s="58">
        <f t="shared" si="11"/>
        <v>62</v>
      </c>
      <c r="Q52" s="58"/>
    </row>
    <row r="53" spans="1:17" x14ac:dyDescent="0.25">
      <c r="A53" s="91" t="s">
        <v>403</v>
      </c>
      <c r="B53" s="91" t="s">
        <v>537</v>
      </c>
      <c r="C53" s="75">
        <v>44105</v>
      </c>
      <c r="D53" s="103">
        <v>44984</v>
      </c>
      <c r="E53" s="103">
        <v>45046</v>
      </c>
      <c r="F53" s="58"/>
      <c r="G53" s="58"/>
      <c r="H53" s="58"/>
      <c r="I53" s="58"/>
      <c r="J53" s="58"/>
      <c r="K53" s="58"/>
      <c r="L53" s="58">
        <f t="shared" si="0"/>
        <v>62</v>
      </c>
      <c r="M53" s="58">
        <f t="shared" si="3"/>
        <v>0</v>
      </c>
      <c r="N53" s="58">
        <f t="shared" si="9"/>
        <v>0</v>
      </c>
      <c r="O53" s="58">
        <f t="shared" si="10"/>
        <v>0</v>
      </c>
      <c r="P53" s="58">
        <f t="shared" si="11"/>
        <v>62</v>
      </c>
      <c r="Q53" s="58"/>
    </row>
    <row r="54" spans="1:17" x14ac:dyDescent="0.25">
      <c r="A54" s="91" t="s">
        <v>404</v>
      </c>
      <c r="B54" s="91" t="s">
        <v>292</v>
      </c>
      <c r="C54" s="75">
        <v>44136</v>
      </c>
      <c r="D54" s="103"/>
      <c r="E54" s="103"/>
      <c r="F54" s="58"/>
      <c r="G54" s="58"/>
      <c r="H54" s="58"/>
      <c r="I54" s="58"/>
      <c r="J54" s="58"/>
      <c r="K54" s="58"/>
      <c r="L54" s="58">
        <f t="shared" si="0"/>
        <v>0</v>
      </c>
      <c r="M54" s="58">
        <f t="shared" si="3"/>
        <v>0</v>
      </c>
      <c r="N54" s="58">
        <f t="shared" si="9"/>
        <v>0</v>
      </c>
      <c r="O54" s="58">
        <f t="shared" si="10"/>
        <v>0</v>
      </c>
      <c r="P54" s="58">
        <f t="shared" si="11"/>
        <v>0</v>
      </c>
      <c r="Q54" s="58"/>
    </row>
    <row r="55" spans="1:17" ht="15.75" customHeight="1" x14ac:dyDescent="0.25">
      <c r="A55" s="91" t="s">
        <v>405</v>
      </c>
      <c r="B55" s="91" t="s">
        <v>538</v>
      </c>
      <c r="C55" s="75">
        <v>44136</v>
      </c>
      <c r="D55" s="103">
        <v>45044</v>
      </c>
      <c r="E55" s="103">
        <v>45104</v>
      </c>
      <c r="F55" s="58"/>
      <c r="G55" s="58"/>
      <c r="H55" s="58"/>
      <c r="I55" s="58"/>
      <c r="J55" s="58"/>
      <c r="K55" s="58"/>
      <c r="L55" s="58">
        <f t="shared" si="0"/>
        <v>60</v>
      </c>
      <c r="M55" s="58">
        <f t="shared" si="3"/>
        <v>0</v>
      </c>
      <c r="N55" s="58">
        <f t="shared" si="9"/>
        <v>0</v>
      </c>
      <c r="O55" s="58">
        <f t="shared" si="10"/>
        <v>0</v>
      </c>
      <c r="P55" s="58">
        <f t="shared" si="11"/>
        <v>60</v>
      </c>
      <c r="Q55" s="58"/>
    </row>
    <row r="56" spans="1:17" x14ac:dyDescent="0.25">
      <c r="A56" s="91" t="s">
        <v>406</v>
      </c>
      <c r="B56" s="91" t="s">
        <v>539</v>
      </c>
      <c r="C56" s="75">
        <v>44197</v>
      </c>
      <c r="D56" s="103">
        <v>45123</v>
      </c>
      <c r="E56" s="103">
        <v>45166</v>
      </c>
      <c r="F56" s="103"/>
      <c r="G56" s="103"/>
      <c r="H56" s="58"/>
      <c r="I56" s="58"/>
      <c r="J56" s="58"/>
      <c r="K56" s="58"/>
      <c r="L56" s="58">
        <f t="shared" si="0"/>
        <v>43</v>
      </c>
      <c r="M56" s="58">
        <f t="shared" si="3"/>
        <v>0</v>
      </c>
      <c r="N56" s="58">
        <f t="shared" si="9"/>
        <v>0</v>
      </c>
      <c r="O56" s="58">
        <f t="shared" si="10"/>
        <v>0</v>
      </c>
      <c r="P56" s="58">
        <f t="shared" si="11"/>
        <v>43</v>
      </c>
      <c r="Q56" s="58"/>
    </row>
    <row r="57" spans="1:17" x14ac:dyDescent="0.25">
      <c r="A57" s="91" t="s">
        <v>407</v>
      </c>
      <c r="B57" s="91" t="s">
        <v>540</v>
      </c>
      <c r="C57" s="75">
        <v>44197</v>
      </c>
      <c r="D57" s="103"/>
      <c r="E57" s="103"/>
      <c r="F57" s="58"/>
      <c r="G57" s="58"/>
      <c r="H57" s="58"/>
      <c r="I57" s="58"/>
      <c r="J57" s="58"/>
      <c r="K57" s="58"/>
      <c r="L57" s="58">
        <f t="shared" si="0"/>
        <v>0</v>
      </c>
      <c r="M57" s="58">
        <f t="shared" si="3"/>
        <v>0</v>
      </c>
      <c r="N57" s="58">
        <f t="shared" si="9"/>
        <v>0</v>
      </c>
      <c r="O57" s="58">
        <f t="shared" si="10"/>
        <v>0</v>
      </c>
      <c r="P57" s="58">
        <f t="shared" si="11"/>
        <v>0</v>
      </c>
      <c r="Q57" s="58"/>
    </row>
    <row r="58" spans="1:17" x14ac:dyDescent="0.25">
      <c r="A58" s="91" t="s">
        <v>408</v>
      </c>
      <c r="B58" s="91" t="s">
        <v>541</v>
      </c>
      <c r="C58" s="75">
        <v>44197</v>
      </c>
      <c r="D58" s="103">
        <v>45231</v>
      </c>
      <c r="E58" s="103">
        <v>45291</v>
      </c>
      <c r="F58" s="58"/>
      <c r="G58" s="58"/>
      <c r="H58" s="58"/>
      <c r="I58" s="58"/>
      <c r="J58" s="58"/>
      <c r="K58" s="58"/>
      <c r="L58" s="58">
        <f t="shared" si="0"/>
        <v>60</v>
      </c>
      <c r="M58" s="58">
        <f t="shared" si="3"/>
        <v>0</v>
      </c>
      <c r="N58" s="58">
        <f t="shared" si="9"/>
        <v>0</v>
      </c>
      <c r="O58" s="58">
        <f t="shared" si="10"/>
        <v>0</v>
      </c>
      <c r="P58" s="58">
        <f t="shared" si="11"/>
        <v>60</v>
      </c>
      <c r="Q58" s="58"/>
    </row>
    <row r="59" spans="1:17" x14ac:dyDescent="0.25">
      <c r="A59" s="91" t="s">
        <v>409</v>
      </c>
      <c r="B59" s="91" t="s">
        <v>542</v>
      </c>
      <c r="C59" s="75">
        <v>44256</v>
      </c>
      <c r="D59" s="103"/>
      <c r="E59" s="103"/>
      <c r="F59" s="58"/>
      <c r="G59" s="58"/>
      <c r="H59" s="58"/>
      <c r="I59" s="58"/>
      <c r="J59" s="58"/>
      <c r="K59" s="58"/>
      <c r="L59" s="58">
        <f t="shared" si="0"/>
        <v>0</v>
      </c>
      <c r="M59" s="58">
        <f t="shared" si="3"/>
        <v>0</v>
      </c>
      <c r="N59" s="58">
        <f t="shared" si="9"/>
        <v>0</v>
      </c>
      <c r="O59" s="58">
        <f t="shared" si="10"/>
        <v>0</v>
      </c>
      <c r="P59" s="58">
        <f t="shared" si="11"/>
        <v>0</v>
      </c>
      <c r="Q59" s="58"/>
    </row>
    <row r="60" spans="1:17" x14ac:dyDescent="0.25">
      <c r="A60" s="91" t="s">
        <v>410</v>
      </c>
      <c r="B60" s="91" t="s">
        <v>543</v>
      </c>
      <c r="C60" s="75">
        <v>44256</v>
      </c>
      <c r="D60" s="58"/>
      <c r="E60" s="58"/>
      <c r="F60" s="58"/>
      <c r="G60" s="58"/>
      <c r="H60" s="58"/>
      <c r="I60" s="58"/>
      <c r="J60" s="58"/>
      <c r="K60" s="58"/>
      <c r="L60" s="58">
        <f t="shared" si="0"/>
        <v>0</v>
      </c>
      <c r="M60" s="58">
        <f t="shared" si="3"/>
        <v>0</v>
      </c>
      <c r="N60" s="58">
        <f t="shared" si="9"/>
        <v>0</v>
      </c>
      <c r="O60" s="58">
        <f t="shared" si="10"/>
        <v>0</v>
      </c>
      <c r="P60" s="58">
        <f t="shared" si="11"/>
        <v>0</v>
      </c>
      <c r="Q60" s="58"/>
    </row>
    <row r="61" spans="1:17" x14ac:dyDescent="0.25">
      <c r="A61" s="91" t="s">
        <v>411</v>
      </c>
      <c r="B61" s="91" t="s">
        <v>544</v>
      </c>
      <c r="C61" s="75">
        <v>44256</v>
      </c>
      <c r="D61" s="58"/>
      <c r="E61" s="58"/>
      <c r="F61" s="58"/>
      <c r="G61" s="58"/>
      <c r="H61" s="58"/>
      <c r="I61" s="58"/>
      <c r="J61" s="58"/>
      <c r="K61" s="58"/>
      <c r="L61" s="58">
        <f t="shared" ref="L61:L80" si="12">E61-D61</f>
        <v>0</v>
      </c>
      <c r="M61" s="58">
        <f t="shared" si="3"/>
        <v>0</v>
      </c>
      <c r="N61" s="58">
        <f t="shared" si="9"/>
        <v>0</v>
      </c>
      <c r="O61" s="58">
        <f t="shared" si="10"/>
        <v>0</v>
      </c>
      <c r="P61" s="58">
        <f t="shared" si="11"/>
        <v>0</v>
      </c>
      <c r="Q61" s="58"/>
    </row>
    <row r="62" spans="1:17" x14ac:dyDescent="0.25">
      <c r="A62" s="91" t="s">
        <v>412</v>
      </c>
      <c r="B62" s="91" t="s">
        <v>305</v>
      </c>
      <c r="C62" s="75">
        <v>44287</v>
      </c>
      <c r="D62" s="103">
        <v>44958</v>
      </c>
      <c r="E62" s="103">
        <v>44990</v>
      </c>
      <c r="F62" s="58"/>
      <c r="G62" s="58"/>
      <c r="H62" s="58"/>
      <c r="I62" s="58"/>
      <c r="J62" s="58"/>
      <c r="K62" s="58"/>
      <c r="L62" s="58">
        <f t="shared" si="12"/>
        <v>32</v>
      </c>
      <c r="M62" s="58">
        <f t="shared" ref="M62:M80" si="13">G62-F62</f>
        <v>0</v>
      </c>
      <c r="N62" s="58">
        <f t="shared" si="9"/>
        <v>0</v>
      </c>
      <c r="O62" s="58">
        <f t="shared" si="10"/>
        <v>0</v>
      </c>
      <c r="P62" s="58">
        <f t="shared" si="11"/>
        <v>32</v>
      </c>
      <c r="Q62" s="58"/>
    </row>
    <row r="63" spans="1:17" x14ac:dyDescent="0.25">
      <c r="A63" s="91" t="s">
        <v>413</v>
      </c>
      <c r="B63" s="91" t="s">
        <v>545</v>
      </c>
      <c r="C63" s="75">
        <v>44287</v>
      </c>
      <c r="D63" s="58"/>
      <c r="E63" s="58"/>
      <c r="F63" s="58"/>
      <c r="G63" s="58"/>
      <c r="H63" s="58"/>
      <c r="I63" s="58"/>
      <c r="J63" s="58"/>
      <c r="K63" s="58"/>
      <c r="L63" s="58">
        <f t="shared" si="12"/>
        <v>0</v>
      </c>
      <c r="M63" s="58">
        <f t="shared" si="13"/>
        <v>0</v>
      </c>
      <c r="N63" s="58">
        <f t="shared" si="9"/>
        <v>0</v>
      </c>
      <c r="O63" s="58">
        <f t="shared" si="10"/>
        <v>0</v>
      </c>
      <c r="P63" s="58">
        <f t="shared" si="11"/>
        <v>0</v>
      </c>
      <c r="Q63" s="58"/>
    </row>
    <row r="64" spans="1:17" x14ac:dyDescent="0.25">
      <c r="A64" s="91" t="s">
        <v>414</v>
      </c>
      <c r="B64" s="91" t="s">
        <v>308</v>
      </c>
      <c r="C64" s="75">
        <v>44378</v>
      </c>
      <c r="D64" s="58"/>
      <c r="E64" s="58"/>
      <c r="F64" s="58"/>
      <c r="G64" s="58"/>
      <c r="H64" s="58"/>
      <c r="I64" s="58"/>
      <c r="J64" s="58"/>
      <c r="K64" s="58"/>
      <c r="L64" s="58">
        <f t="shared" si="12"/>
        <v>0</v>
      </c>
      <c r="M64" s="58">
        <f t="shared" si="13"/>
        <v>0</v>
      </c>
      <c r="N64" s="58">
        <f t="shared" si="9"/>
        <v>0</v>
      </c>
      <c r="O64" s="58">
        <f t="shared" si="10"/>
        <v>0</v>
      </c>
      <c r="P64" s="58">
        <f t="shared" si="11"/>
        <v>0</v>
      </c>
      <c r="Q64" s="58"/>
    </row>
    <row r="65" spans="1:17" x14ac:dyDescent="0.25">
      <c r="A65" s="91" t="s">
        <v>415</v>
      </c>
      <c r="B65" s="91" t="s">
        <v>546</v>
      </c>
      <c r="C65" s="75">
        <v>44378</v>
      </c>
      <c r="D65" s="58"/>
      <c r="E65" s="58"/>
      <c r="F65" s="58"/>
      <c r="G65" s="58"/>
      <c r="H65" s="58"/>
      <c r="I65" s="58"/>
      <c r="J65" s="58"/>
      <c r="K65" s="58"/>
      <c r="L65" s="58">
        <f t="shared" si="12"/>
        <v>0</v>
      </c>
      <c r="M65" s="58">
        <f t="shared" si="13"/>
        <v>0</v>
      </c>
      <c r="N65" s="58">
        <f t="shared" si="9"/>
        <v>0</v>
      </c>
      <c r="O65" s="58">
        <f t="shared" si="10"/>
        <v>0</v>
      </c>
      <c r="P65" s="58">
        <f t="shared" si="11"/>
        <v>0</v>
      </c>
      <c r="Q65" s="58"/>
    </row>
    <row r="66" spans="1:17" x14ac:dyDescent="0.25">
      <c r="A66" s="91" t="s">
        <v>416</v>
      </c>
      <c r="B66" s="91" t="s">
        <v>547</v>
      </c>
      <c r="C66" s="75">
        <v>44409</v>
      </c>
      <c r="D66" s="58"/>
      <c r="E66" s="58"/>
      <c r="F66" s="58"/>
      <c r="G66" s="58"/>
      <c r="H66" s="58"/>
      <c r="I66" s="58"/>
      <c r="J66" s="58"/>
      <c r="K66" s="58"/>
      <c r="L66" s="58">
        <f t="shared" si="12"/>
        <v>0</v>
      </c>
      <c r="M66" s="58">
        <f t="shared" si="13"/>
        <v>0</v>
      </c>
      <c r="N66" s="58">
        <f t="shared" si="9"/>
        <v>0</v>
      </c>
      <c r="O66" s="58">
        <f t="shared" si="10"/>
        <v>0</v>
      </c>
      <c r="P66" s="58">
        <f t="shared" si="11"/>
        <v>0</v>
      </c>
      <c r="Q66" s="58"/>
    </row>
    <row r="67" spans="1:17" x14ac:dyDescent="0.25">
      <c r="A67" s="91" t="s">
        <v>417</v>
      </c>
      <c r="B67" s="91" t="s">
        <v>548</v>
      </c>
      <c r="C67" s="75">
        <v>44378</v>
      </c>
      <c r="D67" s="103">
        <v>45279</v>
      </c>
      <c r="E67" s="103">
        <v>45291</v>
      </c>
      <c r="F67" s="58"/>
      <c r="G67" s="58"/>
      <c r="H67" s="58"/>
      <c r="I67" s="58"/>
      <c r="J67" s="58"/>
      <c r="K67" s="58"/>
      <c r="L67" s="58">
        <f t="shared" si="12"/>
        <v>12</v>
      </c>
      <c r="M67" s="58">
        <f t="shared" si="13"/>
        <v>0</v>
      </c>
      <c r="N67" s="58">
        <f t="shared" si="9"/>
        <v>0</v>
      </c>
      <c r="O67" s="58">
        <f t="shared" si="10"/>
        <v>0</v>
      </c>
      <c r="P67" s="58">
        <f t="shared" si="11"/>
        <v>12</v>
      </c>
      <c r="Q67" s="58"/>
    </row>
    <row r="68" spans="1:17" x14ac:dyDescent="0.25">
      <c r="A68" s="91" t="s">
        <v>418</v>
      </c>
      <c r="B68" s="91" t="s">
        <v>549</v>
      </c>
      <c r="C68" s="75">
        <v>44470</v>
      </c>
      <c r="D68" s="58"/>
      <c r="E68" s="58"/>
      <c r="F68" s="58"/>
      <c r="G68" s="58"/>
      <c r="H68" s="58"/>
      <c r="I68" s="58"/>
      <c r="J68" s="58"/>
      <c r="K68" s="58"/>
      <c r="L68" s="58">
        <f t="shared" si="12"/>
        <v>0</v>
      </c>
      <c r="M68" s="58">
        <f t="shared" si="13"/>
        <v>0</v>
      </c>
      <c r="N68" s="58">
        <f t="shared" si="9"/>
        <v>0</v>
      </c>
      <c r="O68" s="58">
        <f t="shared" si="10"/>
        <v>0</v>
      </c>
      <c r="P68" s="58">
        <f t="shared" si="11"/>
        <v>0</v>
      </c>
      <c r="Q68" s="58"/>
    </row>
    <row r="69" spans="1:17" x14ac:dyDescent="0.25">
      <c r="A69" s="91" t="s">
        <v>419</v>
      </c>
      <c r="B69" s="91" t="s">
        <v>550</v>
      </c>
      <c r="C69" s="75">
        <v>44470</v>
      </c>
      <c r="D69" s="58"/>
      <c r="E69" s="58"/>
      <c r="F69" s="58"/>
      <c r="G69" s="58"/>
      <c r="H69" s="58"/>
      <c r="I69" s="58"/>
      <c r="J69" s="58"/>
      <c r="K69" s="58"/>
      <c r="L69" s="58">
        <f t="shared" si="12"/>
        <v>0</v>
      </c>
      <c r="M69" s="58">
        <f t="shared" si="13"/>
        <v>0</v>
      </c>
      <c r="N69" s="58">
        <f t="shared" si="9"/>
        <v>0</v>
      </c>
      <c r="O69" s="58">
        <f t="shared" si="10"/>
        <v>0</v>
      </c>
      <c r="P69" s="58">
        <f t="shared" si="11"/>
        <v>0</v>
      </c>
      <c r="Q69" s="58"/>
    </row>
    <row r="70" spans="1:17" x14ac:dyDescent="0.25">
      <c r="A70" s="91" t="s">
        <v>420</v>
      </c>
      <c r="B70" s="91" t="s">
        <v>551</v>
      </c>
      <c r="C70" s="75">
        <v>44470</v>
      </c>
      <c r="D70" s="58"/>
      <c r="E70" s="58"/>
      <c r="F70" s="58"/>
      <c r="G70" s="58"/>
      <c r="H70" s="58"/>
      <c r="I70" s="58"/>
      <c r="J70" s="58"/>
      <c r="K70" s="58"/>
      <c r="L70" s="58">
        <f t="shared" si="12"/>
        <v>0</v>
      </c>
      <c r="M70" s="58">
        <f t="shared" si="13"/>
        <v>0</v>
      </c>
      <c r="N70" s="58">
        <f t="shared" si="9"/>
        <v>0</v>
      </c>
      <c r="O70" s="58">
        <f t="shared" si="10"/>
        <v>0</v>
      </c>
      <c r="P70" s="58">
        <f t="shared" si="11"/>
        <v>0</v>
      </c>
      <c r="Q70" s="58"/>
    </row>
    <row r="71" spans="1:17" x14ac:dyDescent="0.25">
      <c r="A71" s="91" t="s">
        <v>421</v>
      </c>
      <c r="B71" s="91" t="s">
        <v>552</v>
      </c>
      <c r="C71" s="75">
        <v>44470</v>
      </c>
      <c r="D71" s="103">
        <v>45064</v>
      </c>
      <c r="E71" s="103">
        <v>45106</v>
      </c>
      <c r="F71" s="58"/>
      <c r="G71" s="58"/>
      <c r="H71" s="58"/>
      <c r="I71" s="58"/>
      <c r="J71" s="58"/>
      <c r="K71" s="58"/>
      <c r="L71" s="58">
        <f t="shared" si="12"/>
        <v>42</v>
      </c>
      <c r="M71" s="58">
        <f t="shared" si="13"/>
        <v>0</v>
      </c>
      <c r="N71" s="58">
        <f t="shared" si="9"/>
        <v>0</v>
      </c>
      <c r="O71" s="58">
        <f t="shared" si="10"/>
        <v>0</v>
      </c>
      <c r="P71" s="58">
        <f t="shared" si="11"/>
        <v>42</v>
      </c>
      <c r="Q71" s="58"/>
    </row>
    <row r="72" spans="1:17" x14ac:dyDescent="0.25">
      <c r="A72" s="91" t="s">
        <v>422</v>
      </c>
      <c r="B72" s="91" t="s">
        <v>553</v>
      </c>
      <c r="C72" s="75">
        <v>44470</v>
      </c>
      <c r="D72" s="58"/>
      <c r="E72" s="58"/>
      <c r="F72" s="58"/>
      <c r="G72" s="58"/>
      <c r="H72" s="58"/>
      <c r="I72" s="58"/>
      <c r="J72" s="58"/>
      <c r="K72" s="58"/>
      <c r="L72" s="58">
        <f t="shared" si="12"/>
        <v>0</v>
      </c>
      <c r="M72" s="58">
        <f t="shared" si="13"/>
        <v>0</v>
      </c>
      <c r="N72" s="58">
        <f t="shared" si="9"/>
        <v>0</v>
      </c>
      <c r="O72" s="58">
        <f t="shared" si="10"/>
        <v>0</v>
      </c>
      <c r="P72" s="58">
        <f t="shared" si="11"/>
        <v>0</v>
      </c>
      <c r="Q72" s="58"/>
    </row>
    <row r="73" spans="1:17" x14ac:dyDescent="0.25">
      <c r="A73" s="91" t="s">
        <v>423</v>
      </c>
      <c r="B73" s="91" t="s">
        <v>554</v>
      </c>
      <c r="C73" s="75">
        <v>44562</v>
      </c>
      <c r="D73" s="58"/>
      <c r="E73" s="58"/>
      <c r="F73" s="58"/>
      <c r="G73" s="58"/>
      <c r="H73" s="58"/>
      <c r="I73" s="58"/>
      <c r="J73" s="58"/>
      <c r="K73" s="58"/>
      <c r="L73" s="58">
        <f t="shared" si="12"/>
        <v>0</v>
      </c>
      <c r="M73" s="58">
        <f t="shared" si="13"/>
        <v>0</v>
      </c>
      <c r="N73" s="58">
        <f t="shared" ref="N73:N104" si="14">I73-H73</f>
        <v>0</v>
      </c>
      <c r="O73" s="58">
        <f t="shared" si="10"/>
        <v>0</v>
      </c>
      <c r="P73" s="58">
        <f t="shared" si="11"/>
        <v>0</v>
      </c>
      <c r="Q73" s="58"/>
    </row>
    <row r="74" spans="1:17" x14ac:dyDescent="0.25">
      <c r="A74" s="91" t="s">
        <v>424</v>
      </c>
      <c r="B74" s="91" t="s">
        <v>555</v>
      </c>
      <c r="C74" s="75">
        <v>44562</v>
      </c>
      <c r="D74" s="103">
        <v>45156</v>
      </c>
      <c r="E74" s="103">
        <v>45171</v>
      </c>
      <c r="F74" s="58"/>
      <c r="G74" s="58"/>
      <c r="H74" s="58"/>
      <c r="I74" s="58"/>
      <c r="J74" s="58"/>
      <c r="K74" s="58"/>
      <c r="L74" s="58">
        <f t="shared" si="12"/>
        <v>15</v>
      </c>
      <c r="M74" s="58">
        <f t="shared" si="13"/>
        <v>0</v>
      </c>
      <c r="N74" s="58">
        <f t="shared" si="14"/>
        <v>0</v>
      </c>
      <c r="O74" s="58">
        <f t="shared" si="10"/>
        <v>0</v>
      </c>
      <c r="P74" s="58">
        <f t="shared" si="11"/>
        <v>15</v>
      </c>
      <c r="Q74" s="58"/>
    </row>
    <row r="75" spans="1:17" x14ac:dyDescent="0.25">
      <c r="A75" s="91" t="s">
        <v>425</v>
      </c>
      <c r="B75" s="91" t="s">
        <v>556</v>
      </c>
      <c r="C75" s="75">
        <v>44562</v>
      </c>
      <c r="D75" s="103">
        <v>45022</v>
      </c>
      <c r="E75" s="103">
        <v>45031</v>
      </c>
      <c r="F75" s="58"/>
      <c r="G75" s="58"/>
      <c r="H75" s="58"/>
      <c r="I75" s="58"/>
      <c r="J75" s="58"/>
      <c r="K75" s="58"/>
      <c r="L75" s="58">
        <f t="shared" si="12"/>
        <v>9</v>
      </c>
      <c r="M75" s="58">
        <f t="shared" si="13"/>
        <v>0</v>
      </c>
      <c r="N75" s="58">
        <f t="shared" si="14"/>
        <v>0</v>
      </c>
      <c r="O75" s="58">
        <f t="shared" si="10"/>
        <v>0</v>
      </c>
      <c r="P75" s="58">
        <f t="shared" si="11"/>
        <v>9</v>
      </c>
      <c r="Q75" s="58"/>
    </row>
    <row r="76" spans="1:17" x14ac:dyDescent="0.25">
      <c r="A76" s="91" t="s">
        <v>426</v>
      </c>
      <c r="B76" s="91" t="s">
        <v>557</v>
      </c>
      <c r="C76" s="75">
        <v>44652</v>
      </c>
      <c r="D76" s="58"/>
      <c r="E76" s="58"/>
      <c r="F76" s="58"/>
      <c r="G76" s="58"/>
      <c r="H76" s="58"/>
      <c r="I76" s="58"/>
      <c r="J76" s="58"/>
      <c r="K76" s="58"/>
      <c r="L76" s="58">
        <f t="shared" si="12"/>
        <v>0</v>
      </c>
      <c r="M76" s="58">
        <f t="shared" si="13"/>
        <v>0</v>
      </c>
      <c r="N76" s="58">
        <f t="shared" si="14"/>
        <v>0</v>
      </c>
      <c r="O76" s="58">
        <f t="shared" si="10"/>
        <v>0</v>
      </c>
      <c r="P76" s="58">
        <f t="shared" si="11"/>
        <v>0</v>
      </c>
      <c r="Q76" s="58"/>
    </row>
    <row r="77" spans="1:17" x14ac:dyDescent="0.25">
      <c r="A77" s="91" t="s">
        <v>427</v>
      </c>
      <c r="B77" s="91" t="s">
        <v>558</v>
      </c>
      <c r="C77" s="75">
        <v>44682</v>
      </c>
      <c r="D77" s="103">
        <v>44983</v>
      </c>
      <c r="E77" s="103">
        <v>45004</v>
      </c>
      <c r="F77" s="58"/>
      <c r="G77" s="58"/>
      <c r="H77" s="58"/>
      <c r="I77" s="58"/>
      <c r="J77" s="58"/>
      <c r="K77" s="58"/>
      <c r="L77" s="58">
        <f t="shared" si="12"/>
        <v>21</v>
      </c>
      <c r="M77" s="58">
        <f t="shared" si="13"/>
        <v>0</v>
      </c>
      <c r="N77" s="58">
        <f t="shared" si="14"/>
        <v>0</v>
      </c>
      <c r="O77" s="58">
        <f t="shared" ref="O77:O108" si="15">J77-I77</f>
        <v>0</v>
      </c>
      <c r="P77" s="58">
        <f t="shared" ref="P77:P108" si="16">L77+M77+N77</f>
        <v>21</v>
      </c>
      <c r="Q77" s="58"/>
    </row>
    <row r="78" spans="1:17" x14ac:dyDescent="0.25">
      <c r="A78" s="91" t="s">
        <v>428</v>
      </c>
      <c r="B78" s="91" t="s">
        <v>559</v>
      </c>
      <c r="C78" s="75">
        <v>44682</v>
      </c>
      <c r="D78" s="103">
        <v>45191</v>
      </c>
      <c r="E78" s="103">
        <v>45209</v>
      </c>
      <c r="F78" s="58"/>
      <c r="G78" s="58"/>
      <c r="H78" s="58"/>
      <c r="I78" s="58"/>
      <c r="J78" s="58"/>
      <c r="K78" s="58"/>
      <c r="L78" s="58">
        <f t="shared" si="12"/>
        <v>18</v>
      </c>
      <c r="M78" s="58">
        <f t="shared" si="13"/>
        <v>0</v>
      </c>
      <c r="N78" s="58">
        <f t="shared" si="14"/>
        <v>0</v>
      </c>
      <c r="O78" s="58">
        <f t="shared" si="15"/>
        <v>0</v>
      </c>
      <c r="P78" s="58">
        <f t="shared" si="16"/>
        <v>18</v>
      </c>
      <c r="Q78" s="58"/>
    </row>
    <row r="79" spans="1:17" x14ac:dyDescent="0.25">
      <c r="A79" s="91" t="s">
        <v>429</v>
      </c>
      <c r="B79" s="91" t="s">
        <v>560</v>
      </c>
      <c r="C79" s="75">
        <v>44682</v>
      </c>
      <c r="D79" s="58"/>
      <c r="E79" s="58"/>
      <c r="F79" s="58"/>
      <c r="G79" s="58"/>
      <c r="H79" s="58"/>
      <c r="I79" s="58"/>
      <c r="J79" s="58"/>
      <c r="K79" s="58"/>
      <c r="L79" s="58">
        <f t="shared" si="12"/>
        <v>0</v>
      </c>
      <c r="M79" s="58">
        <f t="shared" si="13"/>
        <v>0</v>
      </c>
      <c r="N79" s="58">
        <f t="shared" si="14"/>
        <v>0</v>
      </c>
      <c r="O79" s="58">
        <f t="shared" si="15"/>
        <v>0</v>
      </c>
      <c r="P79" s="58">
        <f t="shared" si="16"/>
        <v>0</v>
      </c>
      <c r="Q79" s="58"/>
    </row>
    <row r="80" spans="1:17" x14ac:dyDescent="0.25">
      <c r="A80" s="91" t="s">
        <v>430</v>
      </c>
      <c r="B80" s="91" t="s">
        <v>561</v>
      </c>
      <c r="C80" s="75">
        <v>44682</v>
      </c>
      <c r="D80" s="58"/>
      <c r="E80" s="58"/>
      <c r="F80" s="58"/>
      <c r="G80" s="58"/>
      <c r="H80" s="58"/>
      <c r="I80" s="58"/>
      <c r="J80" s="58"/>
      <c r="K80" s="58"/>
      <c r="L80" s="58">
        <f t="shared" si="12"/>
        <v>0</v>
      </c>
      <c r="M80" s="58">
        <f t="shared" si="13"/>
        <v>0</v>
      </c>
      <c r="N80" s="58">
        <f t="shared" si="14"/>
        <v>0</v>
      </c>
      <c r="O80" s="58">
        <f t="shared" si="15"/>
        <v>0</v>
      </c>
      <c r="P80" s="58">
        <f t="shared" si="16"/>
        <v>0</v>
      </c>
      <c r="Q80" s="58"/>
    </row>
    <row r="81" spans="1:17" x14ac:dyDescent="0.25">
      <c r="A81" s="91" t="s">
        <v>431</v>
      </c>
      <c r="B81" s="91" t="s">
        <v>562</v>
      </c>
      <c r="C81" s="75">
        <v>44652</v>
      </c>
      <c r="D81" s="58"/>
      <c r="E81" s="58"/>
      <c r="F81" s="58"/>
      <c r="G81" s="58"/>
      <c r="H81" s="58"/>
      <c r="I81" s="58"/>
      <c r="J81" s="58"/>
      <c r="K81" s="58"/>
      <c r="L81" s="58">
        <f>E81-D81</f>
        <v>0</v>
      </c>
      <c r="M81" s="58">
        <f>G81-F81</f>
        <v>0</v>
      </c>
      <c r="N81" s="58">
        <f t="shared" si="14"/>
        <v>0</v>
      </c>
      <c r="O81" s="58">
        <f t="shared" si="15"/>
        <v>0</v>
      </c>
      <c r="P81" s="58">
        <f t="shared" si="16"/>
        <v>0</v>
      </c>
      <c r="Q81" s="58"/>
    </row>
    <row r="82" spans="1:17" x14ac:dyDescent="0.25">
      <c r="A82" s="91" t="s">
        <v>432</v>
      </c>
      <c r="B82" s="91" t="s">
        <v>563</v>
      </c>
      <c r="C82" s="75">
        <v>44682</v>
      </c>
      <c r="D82" s="58"/>
      <c r="E82" s="58"/>
      <c r="F82" s="58"/>
      <c r="G82" s="58"/>
      <c r="H82" s="58"/>
      <c r="I82" s="58"/>
      <c r="J82" s="58"/>
      <c r="K82" s="58"/>
      <c r="L82" s="58">
        <f>E82-D82</f>
        <v>0</v>
      </c>
      <c r="M82" s="58">
        <f>G82-F82</f>
        <v>0</v>
      </c>
      <c r="N82" s="58">
        <f t="shared" si="14"/>
        <v>0</v>
      </c>
      <c r="O82" s="58">
        <f t="shared" si="15"/>
        <v>0</v>
      </c>
      <c r="P82" s="58">
        <f t="shared" si="16"/>
        <v>0</v>
      </c>
      <c r="Q82" s="58"/>
    </row>
    <row r="83" spans="1:17" x14ac:dyDescent="0.25">
      <c r="A83" s="91" t="s">
        <v>433</v>
      </c>
      <c r="B83" s="91" t="s">
        <v>338</v>
      </c>
      <c r="C83" s="75">
        <v>44682</v>
      </c>
      <c r="D83" s="58"/>
      <c r="E83" s="58"/>
      <c r="F83" s="58"/>
      <c r="G83" s="58"/>
      <c r="H83" s="58"/>
      <c r="I83" s="58"/>
      <c r="J83" s="58"/>
      <c r="K83" s="58"/>
      <c r="L83" s="58">
        <f t="shared" ref="L83:L128" si="17">E83-D83</f>
        <v>0</v>
      </c>
      <c r="M83" s="58">
        <f t="shared" ref="M83:M128" si="18">G83-F83</f>
        <v>0</v>
      </c>
      <c r="N83" s="58">
        <f t="shared" si="14"/>
        <v>0</v>
      </c>
      <c r="O83" s="58">
        <f t="shared" si="15"/>
        <v>0</v>
      </c>
      <c r="P83" s="58">
        <f t="shared" si="16"/>
        <v>0</v>
      </c>
      <c r="Q83" s="58"/>
    </row>
    <row r="84" spans="1:17" x14ac:dyDescent="0.25">
      <c r="A84" s="91" t="s">
        <v>434</v>
      </c>
      <c r="B84" s="91" t="s">
        <v>564</v>
      </c>
      <c r="C84" s="75">
        <v>44682</v>
      </c>
      <c r="D84" s="58"/>
      <c r="E84" s="58"/>
      <c r="F84" s="58"/>
      <c r="G84" s="58"/>
      <c r="H84" s="58"/>
      <c r="I84" s="58"/>
      <c r="J84" s="58"/>
      <c r="K84" s="58"/>
      <c r="L84" s="58">
        <f t="shared" si="17"/>
        <v>0</v>
      </c>
      <c r="M84" s="58">
        <f t="shared" si="18"/>
        <v>0</v>
      </c>
      <c r="N84" s="58">
        <f t="shared" si="14"/>
        <v>0</v>
      </c>
      <c r="O84" s="58">
        <f t="shared" si="15"/>
        <v>0</v>
      </c>
      <c r="P84" s="58">
        <f t="shared" si="16"/>
        <v>0</v>
      </c>
      <c r="Q84" s="58"/>
    </row>
    <row r="85" spans="1:17" x14ac:dyDescent="0.25">
      <c r="A85" s="91" t="s">
        <v>435</v>
      </c>
      <c r="B85" s="91" t="s">
        <v>565</v>
      </c>
      <c r="C85" s="75">
        <v>44682</v>
      </c>
      <c r="D85" s="58"/>
      <c r="E85" s="58"/>
      <c r="F85" s="58"/>
      <c r="G85" s="58"/>
      <c r="H85" s="58"/>
      <c r="I85" s="58"/>
      <c r="J85" s="58"/>
      <c r="K85" s="58"/>
      <c r="L85" s="58">
        <f t="shared" si="17"/>
        <v>0</v>
      </c>
      <c r="M85" s="58">
        <f t="shared" si="18"/>
        <v>0</v>
      </c>
      <c r="N85" s="58">
        <f t="shared" si="14"/>
        <v>0</v>
      </c>
      <c r="O85" s="58">
        <f t="shared" si="15"/>
        <v>0</v>
      </c>
      <c r="P85" s="58">
        <f t="shared" si="16"/>
        <v>0</v>
      </c>
      <c r="Q85" s="58"/>
    </row>
    <row r="86" spans="1:17" x14ac:dyDescent="0.25">
      <c r="A86" s="91" t="s">
        <v>436</v>
      </c>
      <c r="B86" s="91" t="s">
        <v>566</v>
      </c>
      <c r="C86" s="74">
        <v>39083</v>
      </c>
      <c r="D86" s="103">
        <v>45006</v>
      </c>
      <c r="E86" s="103">
        <v>45018</v>
      </c>
      <c r="F86" s="103">
        <v>45146</v>
      </c>
      <c r="G86" s="103">
        <v>45200</v>
      </c>
      <c r="H86" s="58"/>
      <c r="I86" s="58"/>
      <c r="J86" s="58"/>
      <c r="K86" s="58"/>
      <c r="L86" s="58">
        <f t="shared" si="17"/>
        <v>12</v>
      </c>
      <c r="M86" s="58">
        <f t="shared" si="18"/>
        <v>54</v>
      </c>
      <c r="N86" s="58">
        <f t="shared" si="14"/>
        <v>0</v>
      </c>
      <c r="O86" s="58">
        <f t="shared" si="15"/>
        <v>0</v>
      </c>
      <c r="P86" s="58">
        <f t="shared" si="16"/>
        <v>66</v>
      </c>
      <c r="Q86" s="58"/>
    </row>
    <row r="87" spans="1:17" x14ac:dyDescent="0.25">
      <c r="A87" s="91" t="s">
        <v>437</v>
      </c>
      <c r="B87" s="91" t="s">
        <v>567</v>
      </c>
      <c r="C87" s="74">
        <v>39083</v>
      </c>
      <c r="D87" s="103"/>
      <c r="E87" s="103"/>
      <c r="F87" s="58"/>
      <c r="G87" s="58"/>
      <c r="H87" s="58"/>
      <c r="I87" s="58"/>
      <c r="J87" s="58"/>
      <c r="K87" s="58"/>
      <c r="L87" s="58">
        <f t="shared" si="17"/>
        <v>0</v>
      </c>
      <c r="M87" s="58">
        <f t="shared" si="18"/>
        <v>0</v>
      </c>
      <c r="N87" s="58">
        <f t="shared" si="14"/>
        <v>0</v>
      </c>
      <c r="O87" s="58">
        <f t="shared" si="15"/>
        <v>0</v>
      </c>
      <c r="P87" s="58">
        <f t="shared" si="16"/>
        <v>0</v>
      </c>
      <c r="Q87" s="58"/>
    </row>
    <row r="88" spans="1:17" x14ac:dyDescent="0.25">
      <c r="A88" s="91" t="s">
        <v>438</v>
      </c>
      <c r="B88" s="91" t="s">
        <v>568</v>
      </c>
      <c r="C88" s="74">
        <v>40940</v>
      </c>
      <c r="D88" s="103"/>
      <c r="E88" s="103"/>
      <c r="F88" s="58"/>
      <c r="G88" s="58"/>
      <c r="H88" s="58"/>
      <c r="I88" s="58"/>
      <c r="J88" s="58"/>
      <c r="K88" s="58"/>
      <c r="L88" s="58">
        <f t="shared" si="17"/>
        <v>0</v>
      </c>
      <c r="M88" s="58">
        <f t="shared" si="18"/>
        <v>0</v>
      </c>
      <c r="N88" s="58">
        <f t="shared" si="14"/>
        <v>0</v>
      </c>
      <c r="O88" s="58">
        <f t="shared" si="15"/>
        <v>0</v>
      </c>
      <c r="P88" s="58">
        <f t="shared" si="16"/>
        <v>0</v>
      </c>
      <c r="Q88" s="58"/>
    </row>
    <row r="89" spans="1:17" x14ac:dyDescent="0.25">
      <c r="A89" s="91" t="s">
        <v>439</v>
      </c>
      <c r="B89" s="91" t="s">
        <v>569</v>
      </c>
      <c r="C89" s="74">
        <v>40848</v>
      </c>
      <c r="D89" s="103"/>
      <c r="E89" s="103"/>
      <c r="F89" s="58"/>
      <c r="G89" s="58"/>
      <c r="H89" s="58"/>
      <c r="I89" s="58"/>
      <c r="J89" s="58"/>
      <c r="K89" s="58"/>
      <c r="L89" s="58">
        <f t="shared" si="17"/>
        <v>0</v>
      </c>
      <c r="M89" s="58">
        <f t="shared" si="18"/>
        <v>0</v>
      </c>
      <c r="N89" s="58">
        <f t="shared" si="14"/>
        <v>0</v>
      </c>
      <c r="O89" s="58">
        <f t="shared" si="15"/>
        <v>0</v>
      </c>
      <c r="P89" s="58">
        <f t="shared" si="16"/>
        <v>0</v>
      </c>
      <c r="Q89" s="58"/>
    </row>
    <row r="90" spans="1:17" x14ac:dyDescent="0.25">
      <c r="A90" s="91" t="s">
        <v>440</v>
      </c>
      <c r="B90" s="91" t="s">
        <v>570</v>
      </c>
      <c r="C90" s="77">
        <v>39173</v>
      </c>
      <c r="D90" s="103">
        <v>45092</v>
      </c>
      <c r="E90" s="103">
        <v>45142</v>
      </c>
      <c r="F90" s="58"/>
      <c r="G90" s="58"/>
      <c r="H90" s="58"/>
      <c r="I90" s="58"/>
      <c r="J90" s="58"/>
      <c r="K90" s="58"/>
      <c r="L90" s="58">
        <f t="shared" si="17"/>
        <v>50</v>
      </c>
      <c r="M90" s="58">
        <f t="shared" si="18"/>
        <v>0</v>
      </c>
      <c r="N90" s="58">
        <f t="shared" si="14"/>
        <v>0</v>
      </c>
      <c r="O90" s="58">
        <f t="shared" si="15"/>
        <v>0</v>
      </c>
      <c r="P90" s="58">
        <f t="shared" si="16"/>
        <v>50</v>
      </c>
      <c r="Q90" s="58"/>
    </row>
    <row r="91" spans="1:17" x14ac:dyDescent="0.25">
      <c r="A91" s="91" t="s">
        <v>441</v>
      </c>
      <c r="B91" s="91" t="s">
        <v>571</v>
      </c>
      <c r="C91" s="74">
        <v>44075</v>
      </c>
      <c r="D91" s="103"/>
      <c r="E91" s="103"/>
      <c r="F91" s="58"/>
      <c r="G91" s="58"/>
      <c r="H91" s="58"/>
      <c r="I91" s="58"/>
      <c r="J91" s="58"/>
      <c r="K91" s="58"/>
      <c r="L91" s="58">
        <f t="shared" si="17"/>
        <v>0</v>
      </c>
      <c r="M91" s="58">
        <f t="shared" si="18"/>
        <v>0</v>
      </c>
      <c r="N91" s="58">
        <f t="shared" si="14"/>
        <v>0</v>
      </c>
      <c r="O91" s="58">
        <f t="shared" si="15"/>
        <v>0</v>
      </c>
      <c r="P91" s="58">
        <f t="shared" si="16"/>
        <v>0</v>
      </c>
      <c r="Q91" s="58"/>
    </row>
    <row r="92" spans="1:17" x14ac:dyDescent="0.25">
      <c r="A92" s="91" t="s">
        <v>442</v>
      </c>
      <c r="B92" s="91" t="s">
        <v>572</v>
      </c>
      <c r="C92" s="74">
        <v>44378</v>
      </c>
      <c r="D92" s="103"/>
      <c r="E92" s="103"/>
      <c r="F92" s="58"/>
      <c r="G92" s="58"/>
      <c r="H92" s="58"/>
      <c r="I92" s="58"/>
      <c r="J92" s="58"/>
      <c r="K92" s="58"/>
      <c r="L92" s="58">
        <f t="shared" si="17"/>
        <v>0</v>
      </c>
      <c r="M92" s="58">
        <f t="shared" si="18"/>
        <v>0</v>
      </c>
      <c r="N92" s="58">
        <f t="shared" si="14"/>
        <v>0</v>
      </c>
      <c r="O92" s="58">
        <f t="shared" si="15"/>
        <v>0</v>
      </c>
      <c r="P92" s="58">
        <f t="shared" si="16"/>
        <v>0</v>
      </c>
      <c r="Q92" s="58"/>
    </row>
    <row r="93" spans="1:17" x14ac:dyDescent="0.25">
      <c r="A93" s="91" t="s">
        <v>443</v>
      </c>
      <c r="B93" s="91" t="s">
        <v>573</v>
      </c>
      <c r="C93" s="74">
        <v>44682</v>
      </c>
      <c r="D93" s="103"/>
      <c r="E93" s="103"/>
      <c r="F93" s="58"/>
      <c r="G93" s="58"/>
      <c r="H93" s="58"/>
      <c r="I93" s="58"/>
      <c r="J93" s="58"/>
      <c r="K93" s="58"/>
      <c r="L93" s="58">
        <f t="shared" si="17"/>
        <v>0</v>
      </c>
      <c r="M93" s="58">
        <f t="shared" si="18"/>
        <v>0</v>
      </c>
      <c r="N93" s="58">
        <f t="shared" si="14"/>
        <v>0</v>
      </c>
      <c r="O93" s="58">
        <f t="shared" si="15"/>
        <v>0</v>
      </c>
      <c r="P93" s="58">
        <f t="shared" si="16"/>
        <v>0</v>
      </c>
      <c r="Q93" s="58"/>
    </row>
    <row r="94" spans="1:17" x14ac:dyDescent="0.25">
      <c r="A94" s="91" t="s">
        <v>444</v>
      </c>
      <c r="B94" s="91" t="s">
        <v>574</v>
      </c>
      <c r="C94" s="74">
        <v>39083</v>
      </c>
      <c r="D94" s="103"/>
      <c r="E94" s="103"/>
      <c r="F94" s="103"/>
      <c r="G94" s="103"/>
      <c r="H94" s="103"/>
      <c r="I94" s="103"/>
      <c r="J94" s="103"/>
      <c r="K94" s="103"/>
      <c r="L94" s="58">
        <f t="shared" si="17"/>
        <v>0</v>
      </c>
      <c r="M94" s="58">
        <f t="shared" si="18"/>
        <v>0</v>
      </c>
      <c r="N94" s="58">
        <f t="shared" si="14"/>
        <v>0</v>
      </c>
      <c r="O94" s="58">
        <f t="shared" si="15"/>
        <v>0</v>
      </c>
      <c r="P94" s="58">
        <f t="shared" si="16"/>
        <v>0</v>
      </c>
      <c r="Q94" s="58"/>
    </row>
    <row r="95" spans="1:17" x14ac:dyDescent="0.25">
      <c r="A95" s="91" t="s">
        <v>445</v>
      </c>
      <c r="B95" s="91" t="s">
        <v>575</v>
      </c>
      <c r="C95" s="74">
        <v>40544</v>
      </c>
      <c r="D95" s="103"/>
      <c r="E95" s="103"/>
      <c r="F95" s="103"/>
      <c r="G95" s="103"/>
      <c r="H95" s="103"/>
      <c r="I95" s="103"/>
      <c r="J95" s="103"/>
      <c r="K95" s="103"/>
      <c r="L95" s="58">
        <f t="shared" si="17"/>
        <v>0</v>
      </c>
      <c r="M95" s="58">
        <f t="shared" si="18"/>
        <v>0</v>
      </c>
      <c r="N95" s="58">
        <f t="shared" si="14"/>
        <v>0</v>
      </c>
      <c r="O95" s="58">
        <f t="shared" si="15"/>
        <v>0</v>
      </c>
      <c r="P95" s="58">
        <f t="shared" si="16"/>
        <v>0</v>
      </c>
      <c r="Q95" s="58"/>
    </row>
    <row r="96" spans="1:17" x14ac:dyDescent="0.25">
      <c r="A96" s="91" t="s">
        <v>446</v>
      </c>
      <c r="B96" s="91" t="s">
        <v>576</v>
      </c>
      <c r="C96" s="74">
        <v>41456</v>
      </c>
      <c r="D96" s="103"/>
      <c r="E96" s="103"/>
      <c r="F96" s="58"/>
      <c r="G96" s="58"/>
      <c r="H96" s="58"/>
      <c r="I96" s="58"/>
      <c r="J96" s="58"/>
      <c r="K96" s="58"/>
      <c r="L96" s="58">
        <f t="shared" si="17"/>
        <v>0</v>
      </c>
      <c r="M96" s="58">
        <f t="shared" si="18"/>
        <v>0</v>
      </c>
      <c r="N96" s="58">
        <f t="shared" si="14"/>
        <v>0</v>
      </c>
      <c r="O96" s="58">
        <f t="shared" si="15"/>
        <v>0</v>
      </c>
      <c r="P96" s="58">
        <f t="shared" si="16"/>
        <v>0</v>
      </c>
      <c r="Q96" s="58"/>
    </row>
    <row r="97" spans="1:17" x14ac:dyDescent="0.25">
      <c r="A97" s="91" t="s">
        <v>447</v>
      </c>
      <c r="B97" s="91" t="s">
        <v>577</v>
      </c>
      <c r="C97" s="74">
        <v>42979</v>
      </c>
      <c r="D97" s="103">
        <v>44988</v>
      </c>
      <c r="E97" s="103">
        <v>44998</v>
      </c>
      <c r="F97" s="58"/>
      <c r="G97" s="58"/>
      <c r="H97" s="58"/>
      <c r="I97" s="58"/>
      <c r="J97" s="58"/>
      <c r="K97" s="58"/>
      <c r="L97" s="58">
        <f t="shared" si="17"/>
        <v>10</v>
      </c>
      <c r="M97" s="58">
        <f t="shared" si="18"/>
        <v>0</v>
      </c>
      <c r="N97" s="58">
        <f t="shared" si="14"/>
        <v>0</v>
      </c>
      <c r="O97" s="58">
        <f t="shared" si="15"/>
        <v>0</v>
      </c>
      <c r="P97" s="58">
        <f t="shared" si="16"/>
        <v>10</v>
      </c>
      <c r="Q97" s="58"/>
    </row>
    <row r="98" spans="1:17" x14ac:dyDescent="0.25">
      <c r="A98" s="91" t="s">
        <v>448</v>
      </c>
      <c r="B98" s="91" t="s">
        <v>578</v>
      </c>
      <c r="C98" s="74">
        <v>44013</v>
      </c>
      <c r="D98" s="103"/>
      <c r="E98" s="103"/>
      <c r="F98" s="58"/>
      <c r="G98" s="58"/>
      <c r="H98" s="58"/>
      <c r="I98" s="58"/>
      <c r="J98" s="58"/>
      <c r="K98" s="58"/>
      <c r="L98" s="58">
        <f t="shared" si="17"/>
        <v>0</v>
      </c>
      <c r="M98" s="58">
        <f t="shared" si="18"/>
        <v>0</v>
      </c>
      <c r="N98" s="58">
        <f t="shared" si="14"/>
        <v>0</v>
      </c>
      <c r="O98" s="58">
        <f t="shared" si="15"/>
        <v>0</v>
      </c>
      <c r="P98" s="58">
        <f t="shared" si="16"/>
        <v>0</v>
      </c>
      <c r="Q98" s="58"/>
    </row>
    <row r="99" spans="1:17" x14ac:dyDescent="0.25">
      <c r="A99" s="91" t="s">
        <v>449</v>
      </c>
      <c r="B99" s="91" t="s">
        <v>579</v>
      </c>
      <c r="C99" s="74">
        <v>44013</v>
      </c>
      <c r="D99" s="103">
        <v>44926</v>
      </c>
      <c r="E99" s="103">
        <v>44989</v>
      </c>
      <c r="F99" s="58"/>
      <c r="G99" s="58"/>
      <c r="H99" s="58"/>
      <c r="I99" s="58"/>
      <c r="J99" s="58"/>
      <c r="K99" s="58"/>
      <c r="L99" s="58">
        <f t="shared" si="17"/>
        <v>63</v>
      </c>
      <c r="M99" s="58">
        <f t="shared" si="18"/>
        <v>0</v>
      </c>
      <c r="N99" s="58">
        <f t="shared" si="14"/>
        <v>0</v>
      </c>
      <c r="O99" s="58">
        <f t="shared" si="15"/>
        <v>0</v>
      </c>
      <c r="P99" s="58">
        <f t="shared" si="16"/>
        <v>63</v>
      </c>
      <c r="Q99" s="58"/>
    </row>
    <row r="100" spans="1:17" x14ac:dyDescent="0.25">
      <c r="A100" s="91" t="s">
        <v>384</v>
      </c>
      <c r="B100" s="91" t="s">
        <v>43</v>
      </c>
      <c r="C100" s="74">
        <v>40210</v>
      </c>
      <c r="D100" s="103">
        <v>45172</v>
      </c>
      <c r="E100" s="103">
        <v>45233</v>
      </c>
      <c r="F100" s="58"/>
      <c r="G100" s="58"/>
      <c r="H100" s="58"/>
      <c r="I100" s="58"/>
      <c r="J100" s="58"/>
      <c r="K100" s="58"/>
      <c r="L100" s="58">
        <f>E100-D100</f>
        <v>61</v>
      </c>
      <c r="M100" s="58">
        <f t="shared" si="18"/>
        <v>0</v>
      </c>
      <c r="N100" s="58">
        <f t="shared" si="14"/>
        <v>0</v>
      </c>
      <c r="O100" s="58">
        <f t="shared" si="15"/>
        <v>0</v>
      </c>
      <c r="P100" s="58">
        <f t="shared" si="16"/>
        <v>61</v>
      </c>
      <c r="Q100" s="58"/>
    </row>
    <row r="101" spans="1:17" x14ac:dyDescent="0.25">
      <c r="A101" s="91" t="s">
        <v>450</v>
      </c>
      <c r="B101" s="91" t="s">
        <v>580</v>
      </c>
      <c r="C101" s="74">
        <v>44470</v>
      </c>
      <c r="D101" s="103"/>
      <c r="E101" s="103"/>
      <c r="F101" s="58"/>
      <c r="G101" s="58"/>
      <c r="H101" s="58"/>
      <c r="I101" s="58"/>
      <c r="J101" s="58"/>
      <c r="K101" s="58"/>
      <c r="L101" s="58">
        <f t="shared" si="17"/>
        <v>0</v>
      </c>
      <c r="M101" s="58">
        <f t="shared" si="18"/>
        <v>0</v>
      </c>
      <c r="N101" s="58">
        <f t="shared" si="14"/>
        <v>0</v>
      </c>
      <c r="O101" s="58">
        <f t="shared" si="15"/>
        <v>0</v>
      </c>
      <c r="P101" s="58">
        <f t="shared" si="16"/>
        <v>0</v>
      </c>
      <c r="Q101" s="58"/>
    </row>
    <row r="102" spans="1:17" x14ac:dyDescent="0.25">
      <c r="A102" s="91" t="s">
        <v>451</v>
      </c>
      <c r="B102" s="91" t="s">
        <v>274</v>
      </c>
      <c r="C102" s="78">
        <v>43678</v>
      </c>
      <c r="D102" s="103"/>
      <c r="E102" s="103"/>
      <c r="F102" s="58"/>
      <c r="G102" s="58"/>
      <c r="H102" s="58"/>
      <c r="I102" s="58"/>
      <c r="J102" s="58"/>
      <c r="K102" s="58"/>
      <c r="L102" s="58">
        <f t="shared" si="17"/>
        <v>0</v>
      </c>
      <c r="M102" s="58">
        <f t="shared" si="18"/>
        <v>0</v>
      </c>
      <c r="N102" s="58">
        <f t="shared" si="14"/>
        <v>0</v>
      </c>
      <c r="O102" s="58">
        <f t="shared" si="15"/>
        <v>0</v>
      </c>
      <c r="P102" s="58">
        <f t="shared" si="16"/>
        <v>0</v>
      </c>
      <c r="Q102" s="58"/>
    </row>
    <row r="103" spans="1:17" x14ac:dyDescent="0.25">
      <c r="A103" s="91" t="s">
        <v>452</v>
      </c>
      <c r="B103" s="91" t="s">
        <v>581</v>
      </c>
      <c r="C103" s="74">
        <v>39083</v>
      </c>
      <c r="E103" s="103"/>
      <c r="F103" s="58"/>
      <c r="G103" s="58"/>
      <c r="H103" s="58"/>
      <c r="I103" s="58"/>
      <c r="J103" s="58"/>
      <c r="K103" s="58"/>
      <c r="L103" s="58">
        <f t="shared" si="17"/>
        <v>0</v>
      </c>
      <c r="M103" s="58">
        <f>G103-F103</f>
        <v>0</v>
      </c>
      <c r="N103" s="58">
        <f t="shared" si="14"/>
        <v>0</v>
      </c>
      <c r="O103" s="58">
        <f t="shared" si="15"/>
        <v>0</v>
      </c>
      <c r="P103" s="58">
        <f t="shared" si="16"/>
        <v>0</v>
      </c>
      <c r="Q103" s="58"/>
    </row>
    <row r="104" spans="1:17" x14ac:dyDescent="0.25">
      <c r="A104" s="91" t="s">
        <v>453</v>
      </c>
      <c r="B104" s="91" t="s">
        <v>582</v>
      </c>
      <c r="C104" s="78">
        <v>44713</v>
      </c>
      <c r="D104" s="103">
        <v>44933</v>
      </c>
      <c r="E104" s="103">
        <v>44955</v>
      </c>
      <c r="F104" s="58"/>
      <c r="G104" s="58"/>
      <c r="H104" s="58"/>
      <c r="I104" s="58"/>
      <c r="J104" s="58"/>
      <c r="K104" s="58"/>
      <c r="L104" s="58">
        <f t="shared" si="17"/>
        <v>22</v>
      </c>
      <c r="M104" s="58">
        <f t="shared" si="18"/>
        <v>0</v>
      </c>
      <c r="N104" s="58">
        <f t="shared" si="14"/>
        <v>0</v>
      </c>
      <c r="O104" s="58">
        <f t="shared" si="15"/>
        <v>0</v>
      </c>
      <c r="P104" s="58">
        <f t="shared" si="16"/>
        <v>22</v>
      </c>
      <c r="Q104" s="58"/>
    </row>
    <row r="105" spans="1:17" x14ac:dyDescent="0.25">
      <c r="A105" s="91" t="s">
        <v>454</v>
      </c>
      <c r="B105" s="91" t="s">
        <v>583</v>
      </c>
      <c r="C105" s="74">
        <v>43983</v>
      </c>
      <c r="D105" s="103"/>
      <c r="E105" s="103"/>
      <c r="F105" s="58"/>
      <c r="G105" s="58"/>
      <c r="H105" s="58"/>
      <c r="I105" s="58"/>
      <c r="J105" s="58"/>
      <c r="K105" s="58"/>
      <c r="L105" s="58">
        <f t="shared" si="17"/>
        <v>0</v>
      </c>
      <c r="M105" s="58">
        <f t="shared" si="18"/>
        <v>0</v>
      </c>
      <c r="N105" s="58">
        <f t="shared" ref="N105:N136" si="19">I105-H105</f>
        <v>0</v>
      </c>
      <c r="O105" s="58">
        <f t="shared" si="15"/>
        <v>0</v>
      </c>
      <c r="P105" s="58">
        <f t="shared" si="16"/>
        <v>0</v>
      </c>
      <c r="Q105" s="58"/>
    </row>
    <row r="106" spans="1:17" x14ac:dyDescent="0.25">
      <c r="A106" s="91" t="s">
        <v>455</v>
      </c>
      <c r="B106" s="91" t="s">
        <v>584</v>
      </c>
      <c r="C106" s="74">
        <v>42856</v>
      </c>
      <c r="D106" s="103"/>
      <c r="E106" s="103"/>
      <c r="F106" s="58"/>
      <c r="G106" s="58"/>
      <c r="H106" s="58"/>
      <c r="I106" s="58"/>
      <c r="J106" s="58"/>
      <c r="K106" s="58"/>
      <c r="L106" s="58">
        <f t="shared" si="17"/>
        <v>0</v>
      </c>
      <c r="M106" s="58">
        <f t="shared" si="18"/>
        <v>0</v>
      </c>
      <c r="N106" s="58">
        <f t="shared" si="19"/>
        <v>0</v>
      </c>
      <c r="O106" s="58">
        <f t="shared" si="15"/>
        <v>0</v>
      </c>
      <c r="P106" s="58">
        <f t="shared" si="16"/>
        <v>0</v>
      </c>
      <c r="Q106" s="58"/>
    </row>
    <row r="107" spans="1:17" x14ac:dyDescent="0.25">
      <c r="A107" s="91" t="s">
        <v>456</v>
      </c>
      <c r="B107" s="91" t="s">
        <v>585</v>
      </c>
      <c r="C107" s="74">
        <v>41609</v>
      </c>
      <c r="D107" s="58"/>
      <c r="E107" s="58"/>
      <c r="F107" s="58"/>
      <c r="G107" s="58"/>
      <c r="H107" s="58"/>
      <c r="I107" s="58"/>
      <c r="J107" s="58"/>
      <c r="K107" s="58"/>
      <c r="L107" s="58">
        <f t="shared" si="17"/>
        <v>0</v>
      </c>
      <c r="M107" s="58">
        <f t="shared" si="18"/>
        <v>0</v>
      </c>
      <c r="N107" s="58">
        <f t="shared" si="19"/>
        <v>0</v>
      </c>
      <c r="O107" s="58">
        <f t="shared" si="15"/>
        <v>0</v>
      </c>
      <c r="P107" s="58">
        <f t="shared" si="16"/>
        <v>0</v>
      </c>
      <c r="Q107" s="58"/>
    </row>
    <row r="108" spans="1:17" x14ac:dyDescent="0.25">
      <c r="A108" s="91" t="s">
        <v>457</v>
      </c>
      <c r="B108" s="91" t="s">
        <v>586</v>
      </c>
      <c r="C108" s="74">
        <v>39083</v>
      </c>
      <c r="D108" s="103"/>
      <c r="E108" s="103"/>
      <c r="F108" s="58"/>
      <c r="G108" s="58"/>
      <c r="H108" s="58"/>
      <c r="I108" s="58"/>
      <c r="J108" s="58"/>
      <c r="K108" s="58"/>
      <c r="L108" s="58">
        <f t="shared" si="17"/>
        <v>0</v>
      </c>
      <c r="M108" s="58">
        <f t="shared" si="18"/>
        <v>0</v>
      </c>
      <c r="N108" s="58">
        <f t="shared" si="19"/>
        <v>0</v>
      </c>
      <c r="O108" s="58">
        <f t="shared" si="15"/>
        <v>0</v>
      </c>
      <c r="P108" s="58">
        <f t="shared" si="16"/>
        <v>0</v>
      </c>
      <c r="Q108" s="58"/>
    </row>
    <row r="109" spans="1:17" x14ac:dyDescent="0.25">
      <c r="A109" s="91" t="s">
        <v>458</v>
      </c>
      <c r="B109" s="91" t="s">
        <v>587</v>
      </c>
      <c r="C109" s="74">
        <v>39083</v>
      </c>
      <c r="D109" s="103">
        <v>44927</v>
      </c>
      <c r="E109" s="103">
        <v>45014</v>
      </c>
      <c r="F109" s="58"/>
      <c r="G109" s="58"/>
      <c r="H109" s="58"/>
      <c r="I109" s="58"/>
      <c r="J109" s="58"/>
      <c r="K109" s="58"/>
      <c r="L109" s="58">
        <f t="shared" si="17"/>
        <v>87</v>
      </c>
      <c r="M109" s="58">
        <f t="shared" si="18"/>
        <v>0</v>
      </c>
      <c r="N109" s="58">
        <f t="shared" si="19"/>
        <v>0</v>
      </c>
      <c r="O109" s="58">
        <f t="shared" ref="O109:O140" si="20">J109-I109</f>
        <v>0</v>
      </c>
      <c r="P109" s="58">
        <f t="shared" ref="P109:P140" si="21">L109+M109+N109</f>
        <v>87</v>
      </c>
      <c r="Q109" s="58"/>
    </row>
    <row r="110" spans="1:17" x14ac:dyDescent="0.25">
      <c r="A110" s="91" t="s">
        <v>459</v>
      </c>
      <c r="B110" s="91" t="s">
        <v>588</v>
      </c>
      <c r="C110" s="74">
        <v>39326</v>
      </c>
      <c r="D110" s="103"/>
      <c r="E110" s="103"/>
      <c r="F110" s="58"/>
      <c r="G110" s="58"/>
      <c r="H110" s="58"/>
      <c r="I110" s="58"/>
      <c r="J110" s="58"/>
      <c r="K110" s="58"/>
      <c r="L110" s="58">
        <f t="shared" si="17"/>
        <v>0</v>
      </c>
      <c r="M110" s="58">
        <f t="shared" si="18"/>
        <v>0</v>
      </c>
      <c r="N110" s="58">
        <f t="shared" si="19"/>
        <v>0</v>
      </c>
      <c r="O110" s="58">
        <f t="shared" si="20"/>
        <v>0</v>
      </c>
      <c r="P110" s="58">
        <f t="shared" si="21"/>
        <v>0</v>
      </c>
      <c r="Q110" s="58"/>
    </row>
    <row r="111" spans="1:17" x14ac:dyDescent="0.25">
      <c r="A111" s="91" t="s">
        <v>460</v>
      </c>
      <c r="B111" s="91" t="s">
        <v>589</v>
      </c>
      <c r="C111" s="74">
        <v>39783</v>
      </c>
      <c r="D111" s="103">
        <v>45154</v>
      </c>
      <c r="E111" s="103">
        <v>45174</v>
      </c>
      <c r="F111" s="58"/>
      <c r="G111" s="58"/>
      <c r="H111" s="58"/>
      <c r="I111" s="58"/>
      <c r="J111" s="58"/>
      <c r="K111" s="58"/>
      <c r="L111" s="58">
        <f t="shared" si="17"/>
        <v>20</v>
      </c>
      <c r="M111" s="58">
        <f t="shared" si="18"/>
        <v>0</v>
      </c>
      <c r="N111" s="58">
        <f t="shared" si="19"/>
        <v>0</v>
      </c>
      <c r="O111" s="58">
        <f t="shared" si="20"/>
        <v>0</v>
      </c>
      <c r="P111" s="58">
        <f t="shared" si="21"/>
        <v>20</v>
      </c>
      <c r="Q111" s="58"/>
    </row>
    <row r="112" spans="1:17" x14ac:dyDescent="0.25">
      <c r="A112" s="91" t="s">
        <v>461</v>
      </c>
      <c r="B112" s="91" t="s">
        <v>590</v>
      </c>
      <c r="C112" s="74">
        <v>40695</v>
      </c>
      <c r="D112" s="103"/>
      <c r="E112" s="103"/>
      <c r="F112" s="58"/>
      <c r="G112" s="58"/>
      <c r="H112" s="58"/>
      <c r="I112" s="58"/>
      <c r="J112" s="58"/>
      <c r="K112" s="58"/>
      <c r="L112" s="58">
        <f t="shared" si="17"/>
        <v>0</v>
      </c>
      <c r="M112" s="58">
        <f t="shared" si="18"/>
        <v>0</v>
      </c>
      <c r="N112" s="58">
        <f t="shared" si="19"/>
        <v>0</v>
      </c>
      <c r="O112" s="58">
        <f t="shared" si="20"/>
        <v>0</v>
      </c>
      <c r="P112" s="58">
        <f t="shared" si="21"/>
        <v>0</v>
      </c>
      <c r="Q112" s="58"/>
    </row>
    <row r="113" spans="1:17" x14ac:dyDescent="0.25">
      <c r="A113" s="91" t="s">
        <v>462</v>
      </c>
      <c r="B113" s="91" t="s">
        <v>591</v>
      </c>
      <c r="C113" s="74">
        <v>41791</v>
      </c>
      <c r="D113" s="103"/>
      <c r="E113" s="103"/>
      <c r="F113" s="58"/>
      <c r="G113" s="58"/>
      <c r="H113" s="58"/>
      <c r="I113" s="58"/>
      <c r="J113" s="58"/>
      <c r="K113" s="58"/>
      <c r="L113" s="58">
        <f t="shared" si="17"/>
        <v>0</v>
      </c>
      <c r="M113" s="58">
        <f t="shared" si="18"/>
        <v>0</v>
      </c>
      <c r="N113" s="58">
        <f t="shared" si="19"/>
        <v>0</v>
      </c>
      <c r="O113" s="58">
        <f t="shared" si="20"/>
        <v>0</v>
      </c>
      <c r="P113" s="58">
        <f t="shared" si="21"/>
        <v>0</v>
      </c>
      <c r="Q113" s="58"/>
    </row>
    <row r="114" spans="1:17" x14ac:dyDescent="0.25">
      <c r="A114" s="91" t="s">
        <v>463</v>
      </c>
      <c r="B114" s="91" t="s">
        <v>592</v>
      </c>
      <c r="C114" s="74">
        <v>41852</v>
      </c>
      <c r="D114" s="103">
        <v>45127</v>
      </c>
      <c r="E114" s="103">
        <v>45159</v>
      </c>
      <c r="F114" s="58"/>
      <c r="G114" s="58"/>
      <c r="H114" s="58"/>
      <c r="I114" s="58"/>
      <c r="J114" s="58"/>
      <c r="K114" s="58"/>
      <c r="L114" s="58">
        <f t="shared" si="17"/>
        <v>32</v>
      </c>
      <c r="M114" s="58">
        <f t="shared" si="18"/>
        <v>0</v>
      </c>
      <c r="N114" s="58">
        <f t="shared" si="19"/>
        <v>0</v>
      </c>
      <c r="O114" s="58">
        <f t="shared" si="20"/>
        <v>0</v>
      </c>
      <c r="P114" s="58">
        <f t="shared" si="21"/>
        <v>32</v>
      </c>
      <c r="Q114" s="58"/>
    </row>
    <row r="115" spans="1:17" x14ac:dyDescent="0.25">
      <c r="A115" s="91" t="s">
        <v>464</v>
      </c>
      <c r="B115" s="91" t="s">
        <v>593</v>
      </c>
      <c r="C115" s="74">
        <v>42156</v>
      </c>
      <c r="D115" s="103">
        <v>45047</v>
      </c>
      <c r="E115" s="103">
        <v>45124</v>
      </c>
      <c r="F115" s="58"/>
      <c r="G115" s="58"/>
      <c r="H115" s="58"/>
      <c r="I115" s="58"/>
      <c r="J115" s="58"/>
      <c r="K115" s="58"/>
      <c r="L115" s="58">
        <f t="shared" si="17"/>
        <v>77</v>
      </c>
      <c r="M115" s="58">
        <f t="shared" si="18"/>
        <v>0</v>
      </c>
      <c r="N115" s="58">
        <f t="shared" si="19"/>
        <v>0</v>
      </c>
      <c r="O115" s="58">
        <f t="shared" si="20"/>
        <v>0</v>
      </c>
      <c r="P115" s="58">
        <f t="shared" si="21"/>
        <v>77</v>
      </c>
      <c r="Q115" s="58"/>
    </row>
    <row r="116" spans="1:17" x14ac:dyDescent="0.25">
      <c r="A116" s="91" t="s">
        <v>465</v>
      </c>
      <c r="B116" s="91" t="s">
        <v>594</v>
      </c>
      <c r="C116" s="74">
        <v>42140</v>
      </c>
      <c r="D116" s="103"/>
      <c r="E116" s="103"/>
      <c r="F116" s="58"/>
      <c r="G116" s="58"/>
      <c r="H116" s="58"/>
      <c r="I116" s="58"/>
      <c r="J116" s="58"/>
      <c r="K116" s="58"/>
      <c r="L116" s="58">
        <f t="shared" si="17"/>
        <v>0</v>
      </c>
      <c r="M116" s="58">
        <f t="shared" si="18"/>
        <v>0</v>
      </c>
      <c r="N116" s="58">
        <f t="shared" si="19"/>
        <v>0</v>
      </c>
      <c r="O116" s="58">
        <f t="shared" si="20"/>
        <v>0</v>
      </c>
      <c r="P116" s="58">
        <f t="shared" si="21"/>
        <v>0</v>
      </c>
      <c r="Q116" s="58"/>
    </row>
    <row r="117" spans="1:17" x14ac:dyDescent="0.25">
      <c r="A117" s="91" t="s">
        <v>466</v>
      </c>
      <c r="B117" s="91" t="s">
        <v>595</v>
      </c>
      <c r="C117" s="78">
        <v>43040</v>
      </c>
      <c r="D117" s="103">
        <v>44958</v>
      </c>
      <c r="E117" s="103">
        <v>45033</v>
      </c>
      <c r="F117" s="58"/>
      <c r="G117" s="58"/>
      <c r="H117" s="58"/>
      <c r="I117" s="58"/>
      <c r="J117" s="58"/>
      <c r="K117" s="58"/>
      <c r="L117" s="58">
        <f t="shared" si="17"/>
        <v>75</v>
      </c>
      <c r="M117" s="58">
        <f t="shared" si="18"/>
        <v>0</v>
      </c>
      <c r="N117" s="58">
        <f t="shared" si="19"/>
        <v>0</v>
      </c>
      <c r="O117" s="58">
        <f t="shared" si="20"/>
        <v>0</v>
      </c>
      <c r="P117" s="58">
        <f t="shared" si="21"/>
        <v>75</v>
      </c>
      <c r="Q117" s="58"/>
    </row>
    <row r="118" spans="1:17" x14ac:dyDescent="0.25">
      <c r="A118" s="91" t="s">
        <v>469</v>
      </c>
      <c r="B118" s="91" t="s">
        <v>467</v>
      </c>
      <c r="C118" s="76">
        <v>44256</v>
      </c>
      <c r="D118" s="103">
        <v>45238</v>
      </c>
      <c r="E118" s="103">
        <v>45291</v>
      </c>
      <c r="F118" s="58"/>
      <c r="G118" s="58"/>
      <c r="H118" s="58"/>
      <c r="I118" s="58"/>
      <c r="J118" s="58"/>
      <c r="K118" s="58"/>
      <c r="L118" s="58">
        <f t="shared" si="17"/>
        <v>53</v>
      </c>
      <c r="M118" s="58">
        <f t="shared" si="18"/>
        <v>0</v>
      </c>
      <c r="N118" s="58">
        <f t="shared" si="19"/>
        <v>0</v>
      </c>
      <c r="O118" s="58">
        <f t="shared" si="20"/>
        <v>0</v>
      </c>
      <c r="P118" s="58">
        <f t="shared" si="21"/>
        <v>53</v>
      </c>
      <c r="Q118" s="58"/>
    </row>
    <row r="119" spans="1:17" x14ac:dyDescent="0.25">
      <c r="A119" s="91" t="s">
        <v>475</v>
      </c>
      <c r="B119" s="91" t="s">
        <v>596</v>
      </c>
      <c r="C119" s="76">
        <v>44348</v>
      </c>
      <c r="D119" s="103">
        <v>45202</v>
      </c>
      <c r="E119" s="103">
        <v>45264</v>
      </c>
      <c r="F119" s="58"/>
      <c r="G119" s="58"/>
      <c r="H119" s="58"/>
      <c r="I119" s="58"/>
      <c r="J119" s="58"/>
      <c r="K119" s="58"/>
      <c r="L119" s="58">
        <f t="shared" si="17"/>
        <v>62</v>
      </c>
      <c r="M119" s="58">
        <f t="shared" si="18"/>
        <v>0</v>
      </c>
      <c r="N119" s="58">
        <f t="shared" si="19"/>
        <v>0</v>
      </c>
      <c r="O119" s="58">
        <f t="shared" si="20"/>
        <v>0</v>
      </c>
      <c r="P119" s="58">
        <f t="shared" si="21"/>
        <v>62</v>
      </c>
      <c r="Q119" s="58"/>
    </row>
    <row r="120" spans="1:17" x14ac:dyDescent="0.25">
      <c r="A120" s="91" t="s">
        <v>470</v>
      </c>
      <c r="B120" s="91" t="s">
        <v>468</v>
      </c>
      <c r="C120" s="76">
        <v>44470</v>
      </c>
      <c r="D120" s="103">
        <v>45029</v>
      </c>
      <c r="E120" s="103">
        <v>45091</v>
      </c>
      <c r="F120" s="58"/>
      <c r="G120" s="58"/>
      <c r="H120" s="58"/>
      <c r="I120" s="58"/>
      <c r="J120" s="58"/>
      <c r="K120" s="58"/>
      <c r="L120" s="58">
        <f t="shared" si="17"/>
        <v>62</v>
      </c>
      <c r="M120" s="58">
        <f t="shared" si="18"/>
        <v>0</v>
      </c>
      <c r="N120" s="58">
        <f t="shared" si="19"/>
        <v>0</v>
      </c>
      <c r="O120" s="58">
        <f t="shared" si="20"/>
        <v>0</v>
      </c>
      <c r="P120" s="58">
        <f t="shared" si="21"/>
        <v>62</v>
      </c>
      <c r="Q120" s="58"/>
    </row>
    <row r="121" spans="1:17" x14ac:dyDescent="0.25">
      <c r="A121" s="91" t="s">
        <v>471</v>
      </c>
      <c r="B121" s="91" t="s">
        <v>597</v>
      </c>
      <c r="C121" s="76">
        <v>44470</v>
      </c>
      <c r="D121" s="58"/>
      <c r="E121" s="58"/>
      <c r="F121" s="58"/>
      <c r="G121" s="58"/>
      <c r="H121" s="58"/>
      <c r="I121" s="58"/>
      <c r="J121" s="58"/>
      <c r="K121" s="58"/>
      <c r="L121" s="58">
        <f t="shared" si="17"/>
        <v>0</v>
      </c>
      <c r="M121" s="58">
        <f t="shared" si="18"/>
        <v>0</v>
      </c>
      <c r="N121" s="58">
        <f t="shared" si="19"/>
        <v>0</v>
      </c>
      <c r="O121" s="58">
        <f t="shared" si="20"/>
        <v>0</v>
      </c>
      <c r="P121" s="58">
        <f t="shared" si="21"/>
        <v>0</v>
      </c>
      <c r="Q121" s="58"/>
    </row>
    <row r="122" spans="1:17" x14ac:dyDescent="0.25">
      <c r="A122" s="91" t="s">
        <v>472</v>
      </c>
      <c r="B122" s="91" t="s">
        <v>598</v>
      </c>
      <c r="C122" s="76">
        <v>44713</v>
      </c>
      <c r="D122" s="58"/>
      <c r="E122" s="58"/>
      <c r="F122" s="58"/>
      <c r="G122" s="58"/>
      <c r="H122" s="58"/>
      <c r="I122" s="58"/>
      <c r="J122" s="58"/>
      <c r="K122" s="58"/>
      <c r="L122" s="58">
        <f t="shared" si="17"/>
        <v>0</v>
      </c>
      <c r="M122" s="58">
        <f t="shared" si="18"/>
        <v>0</v>
      </c>
      <c r="N122" s="58">
        <f t="shared" si="19"/>
        <v>0</v>
      </c>
      <c r="O122" s="58">
        <f t="shared" si="20"/>
        <v>0</v>
      </c>
      <c r="P122" s="58">
        <f t="shared" si="21"/>
        <v>0</v>
      </c>
      <c r="Q122" s="58"/>
    </row>
    <row r="123" spans="1:17" x14ac:dyDescent="0.25">
      <c r="A123" s="91" t="s">
        <v>473</v>
      </c>
      <c r="B123" s="91" t="s">
        <v>348</v>
      </c>
      <c r="C123" s="76">
        <v>44746</v>
      </c>
      <c r="D123" s="103">
        <v>45158</v>
      </c>
      <c r="E123" s="103">
        <v>45172</v>
      </c>
      <c r="F123" s="58"/>
      <c r="G123" s="58"/>
      <c r="H123" s="58"/>
      <c r="I123" s="58"/>
      <c r="J123" s="58"/>
      <c r="K123" s="58"/>
      <c r="L123" s="58">
        <f t="shared" si="17"/>
        <v>14</v>
      </c>
      <c r="M123" s="58">
        <f t="shared" si="18"/>
        <v>0</v>
      </c>
      <c r="N123" s="58">
        <f t="shared" si="19"/>
        <v>0</v>
      </c>
      <c r="O123" s="58">
        <f t="shared" si="20"/>
        <v>0</v>
      </c>
      <c r="P123" s="58">
        <f t="shared" si="21"/>
        <v>14</v>
      </c>
      <c r="Q123" s="58"/>
    </row>
    <row r="124" spans="1:17" x14ac:dyDescent="0.25">
      <c r="A124" s="91" t="s">
        <v>474</v>
      </c>
      <c r="B124" s="91" t="s">
        <v>349</v>
      </c>
      <c r="C124" s="76">
        <v>44734</v>
      </c>
      <c r="D124" s="74"/>
      <c r="E124" s="103"/>
      <c r="F124" s="103"/>
      <c r="G124" s="103"/>
      <c r="H124" s="103"/>
      <c r="I124" s="103"/>
      <c r="J124" s="103"/>
      <c r="K124" s="103"/>
      <c r="L124" s="58">
        <f t="shared" si="17"/>
        <v>0</v>
      </c>
      <c r="M124" s="58">
        <f t="shared" si="18"/>
        <v>0</v>
      </c>
      <c r="N124" s="58">
        <f t="shared" si="19"/>
        <v>0</v>
      </c>
      <c r="O124" s="58">
        <f t="shared" si="20"/>
        <v>0</v>
      </c>
      <c r="P124" s="58">
        <f t="shared" si="21"/>
        <v>0</v>
      </c>
      <c r="Q124" s="58"/>
    </row>
    <row r="125" spans="1:17" x14ac:dyDescent="0.25">
      <c r="A125" s="91" t="s">
        <v>476</v>
      </c>
      <c r="B125" s="91" t="s">
        <v>350</v>
      </c>
      <c r="C125" s="76">
        <v>44762</v>
      </c>
      <c r="D125" s="74"/>
      <c r="E125" s="103"/>
      <c r="F125" s="103"/>
      <c r="G125" s="103"/>
      <c r="H125" s="103"/>
      <c r="I125" s="103"/>
      <c r="J125" s="103"/>
      <c r="K125" s="103"/>
      <c r="L125" s="58">
        <f t="shared" si="17"/>
        <v>0</v>
      </c>
      <c r="M125" s="58">
        <f t="shared" si="18"/>
        <v>0</v>
      </c>
      <c r="N125" s="58">
        <f t="shared" si="19"/>
        <v>0</v>
      </c>
      <c r="O125" s="58">
        <f t="shared" si="20"/>
        <v>0</v>
      </c>
      <c r="P125" s="58">
        <f t="shared" si="21"/>
        <v>0</v>
      </c>
      <c r="Q125" s="58"/>
    </row>
    <row r="126" spans="1:17" x14ac:dyDescent="0.25">
      <c r="A126" s="91" t="s">
        <v>477</v>
      </c>
      <c r="B126" s="91" t="s">
        <v>136</v>
      </c>
      <c r="C126" s="76">
        <v>44805</v>
      </c>
      <c r="D126" s="74"/>
      <c r="E126" s="103"/>
      <c r="F126" s="103"/>
      <c r="G126" s="103"/>
      <c r="H126" s="103"/>
      <c r="I126" s="103"/>
      <c r="J126" s="103"/>
      <c r="K126" s="103"/>
      <c r="L126" s="58">
        <f t="shared" si="17"/>
        <v>0</v>
      </c>
      <c r="M126" s="58">
        <f t="shared" si="18"/>
        <v>0</v>
      </c>
      <c r="N126" s="58">
        <f t="shared" si="19"/>
        <v>0</v>
      </c>
      <c r="O126" s="58">
        <f t="shared" si="20"/>
        <v>0</v>
      </c>
      <c r="P126" s="58">
        <f t="shared" si="21"/>
        <v>0</v>
      </c>
      <c r="Q126" s="58"/>
    </row>
    <row r="127" spans="1:17" x14ac:dyDescent="0.25">
      <c r="A127" s="91" t="s">
        <v>478</v>
      </c>
      <c r="B127" s="91" t="s">
        <v>184</v>
      </c>
      <c r="C127" s="76">
        <v>44817</v>
      </c>
      <c r="D127" s="74"/>
      <c r="E127" s="103"/>
      <c r="F127" s="103"/>
      <c r="G127" s="103"/>
      <c r="H127" s="103"/>
      <c r="I127" s="103"/>
      <c r="J127" s="103"/>
      <c r="K127" s="103"/>
      <c r="L127" s="58">
        <f t="shared" si="17"/>
        <v>0</v>
      </c>
      <c r="M127" s="58">
        <f t="shared" si="18"/>
        <v>0</v>
      </c>
      <c r="N127" s="58">
        <f t="shared" si="19"/>
        <v>0</v>
      </c>
      <c r="O127" s="58">
        <f t="shared" si="20"/>
        <v>0</v>
      </c>
      <c r="P127" s="58">
        <f t="shared" si="21"/>
        <v>0</v>
      </c>
      <c r="Q127" s="58"/>
    </row>
    <row r="128" spans="1:17" x14ac:dyDescent="0.25">
      <c r="A128" s="91" t="s">
        <v>479</v>
      </c>
      <c r="B128" s="91" t="s">
        <v>351</v>
      </c>
      <c r="C128" s="74">
        <v>44513</v>
      </c>
      <c r="D128" s="74"/>
      <c r="E128" s="103"/>
      <c r="F128" s="103"/>
      <c r="G128" s="103"/>
      <c r="H128" s="103"/>
      <c r="I128" s="103"/>
      <c r="J128" s="103"/>
      <c r="K128" s="103"/>
      <c r="L128" s="58">
        <f t="shared" si="17"/>
        <v>0</v>
      </c>
      <c r="M128" s="58">
        <f t="shared" si="18"/>
        <v>0</v>
      </c>
      <c r="N128" s="58">
        <f t="shared" si="19"/>
        <v>0</v>
      </c>
      <c r="O128" s="58">
        <f t="shared" si="20"/>
        <v>0</v>
      </c>
      <c r="P128" s="58">
        <f t="shared" si="21"/>
        <v>0</v>
      </c>
      <c r="Q128" s="58"/>
    </row>
    <row r="129" spans="1:17" x14ac:dyDescent="0.25">
      <c r="A129" s="91" t="s">
        <v>482</v>
      </c>
      <c r="B129" s="91" t="s">
        <v>481</v>
      </c>
      <c r="C129" s="74">
        <v>44866</v>
      </c>
      <c r="D129" s="58"/>
      <c r="E129" s="58"/>
      <c r="F129" s="58"/>
      <c r="G129" s="58"/>
      <c r="H129" s="58"/>
      <c r="I129" s="58"/>
      <c r="J129" s="58"/>
      <c r="K129" s="58"/>
      <c r="L129" s="58">
        <f>E129-D129</f>
        <v>0</v>
      </c>
      <c r="M129" s="58">
        <f>G129-F129</f>
        <v>0</v>
      </c>
      <c r="N129" s="58">
        <f t="shared" si="19"/>
        <v>0</v>
      </c>
      <c r="O129" s="58">
        <f t="shared" si="20"/>
        <v>0</v>
      </c>
      <c r="P129" s="58">
        <f t="shared" si="21"/>
        <v>0</v>
      </c>
      <c r="Q129" s="58"/>
    </row>
    <row r="130" spans="1:17" x14ac:dyDescent="0.25">
      <c r="A130" s="91" t="s">
        <v>487</v>
      </c>
      <c r="B130" s="91" t="s">
        <v>484</v>
      </c>
      <c r="C130" s="74">
        <v>44875</v>
      </c>
      <c r="D130" s="58"/>
      <c r="E130" s="58"/>
      <c r="F130" s="58"/>
      <c r="G130" s="58"/>
      <c r="H130" s="58"/>
      <c r="I130" s="58"/>
      <c r="J130" s="58"/>
      <c r="K130" s="58"/>
      <c r="L130" s="58">
        <f t="shared" ref="L130:L135" si="22">E130-D130</f>
        <v>0</v>
      </c>
      <c r="M130" s="58">
        <f t="shared" ref="M130:M139" si="23">G130-F130</f>
        <v>0</v>
      </c>
      <c r="N130" s="58">
        <f t="shared" si="19"/>
        <v>0</v>
      </c>
      <c r="O130" s="58">
        <f t="shared" si="20"/>
        <v>0</v>
      </c>
      <c r="P130" s="58">
        <f t="shared" si="21"/>
        <v>0</v>
      </c>
      <c r="Q130" s="58"/>
    </row>
    <row r="131" spans="1:17" x14ac:dyDescent="0.25">
      <c r="A131" s="91" t="s">
        <v>488</v>
      </c>
      <c r="B131" s="91" t="s">
        <v>485</v>
      </c>
      <c r="C131" s="74">
        <v>44893</v>
      </c>
      <c r="D131" s="58"/>
      <c r="E131" s="58"/>
      <c r="F131" s="58"/>
      <c r="G131" s="58"/>
      <c r="H131" s="58"/>
      <c r="I131" s="58"/>
      <c r="J131" s="58"/>
      <c r="K131" s="58"/>
      <c r="L131" s="58">
        <f t="shared" si="22"/>
        <v>0</v>
      </c>
      <c r="M131" s="58">
        <f t="shared" si="23"/>
        <v>0</v>
      </c>
      <c r="N131" s="58">
        <f t="shared" si="19"/>
        <v>0</v>
      </c>
      <c r="O131" s="58">
        <f t="shared" si="20"/>
        <v>0</v>
      </c>
      <c r="P131" s="58">
        <f t="shared" si="21"/>
        <v>0</v>
      </c>
      <c r="Q131" s="58"/>
    </row>
    <row r="132" spans="1:17" x14ac:dyDescent="0.25">
      <c r="A132" s="91" t="s">
        <v>489</v>
      </c>
      <c r="B132" s="91" t="s">
        <v>486</v>
      </c>
      <c r="C132" s="74">
        <v>44893</v>
      </c>
      <c r="D132" s="58"/>
      <c r="E132" s="58"/>
      <c r="F132" s="58"/>
      <c r="G132" s="58"/>
      <c r="H132" s="58"/>
      <c r="I132" s="58"/>
      <c r="J132" s="58"/>
      <c r="K132" s="58"/>
      <c r="L132" s="58">
        <f t="shared" si="22"/>
        <v>0</v>
      </c>
      <c r="M132" s="58">
        <f t="shared" si="23"/>
        <v>0</v>
      </c>
      <c r="N132" s="58">
        <f t="shared" si="19"/>
        <v>0</v>
      </c>
      <c r="O132" s="58">
        <f t="shared" si="20"/>
        <v>0</v>
      </c>
      <c r="P132" s="58">
        <f t="shared" si="21"/>
        <v>0</v>
      </c>
      <c r="Q132" s="58"/>
    </row>
    <row r="133" spans="1:17" x14ac:dyDescent="0.25">
      <c r="A133" s="91" t="s">
        <v>607</v>
      </c>
      <c r="B133" s="91" t="s">
        <v>602</v>
      </c>
      <c r="C133" s="76">
        <v>44893</v>
      </c>
      <c r="D133" s="58"/>
      <c r="E133" s="58"/>
      <c r="F133" s="58"/>
      <c r="G133" s="58"/>
      <c r="H133" s="58"/>
      <c r="I133" s="58"/>
      <c r="J133" s="58"/>
      <c r="K133" s="58"/>
      <c r="L133" s="58">
        <f t="shared" si="22"/>
        <v>0</v>
      </c>
      <c r="M133" s="58">
        <f t="shared" si="23"/>
        <v>0</v>
      </c>
      <c r="N133" s="58">
        <f t="shared" si="19"/>
        <v>0</v>
      </c>
      <c r="O133" s="58">
        <f t="shared" si="20"/>
        <v>0</v>
      </c>
      <c r="P133" s="58">
        <f t="shared" si="21"/>
        <v>0</v>
      </c>
      <c r="Q133" s="58"/>
    </row>
    <row r="134" spans="1:17" x14ac:dyDescent="0.25">
      <c r="A134" s="91" t="s">
        <v>608</v>
      </c>
      <c r="B134" s="91" t="s">
        <v>603</v>
      </c>
      <c r="C134" s="76">
        <v>44900</v>
      </c>
      <c r="D134" s="58"/>
      <c r="E134" s="58"/>
      <c r="F134" s="58"/>
      <c r="G134" s="58"/>
      <c r="H134" s="58"/>
      <c r="I134" s="58"/>
      <c r="J134" s="58"/>
      <c r="K134" s="58"/>
      <c r="L134" s="58">
        <f t="shared" si="22"/>
        <v>0</v>
      </c>
      <c r="M134" s="58">
        <f t="shared" si="23"/>
        <v>0</v>
      </c>
      <c r="N134" s="58">
        <f t="shared" si="19"/>
        <v>0</v>
      </c>
      <c r="O134" s="58">
        <f t="shared" si="20"/>
        <v>0</v>
      </c>
      <c r="P134" s="58">
        <f t="shared" si="21"/>
        <v>0</v>
      </c>
      <c r="Q134" s="58"/>
    </row>
    <row r="135" spans="1:17" x14ac:dyDescent="0.25">
      <c r="A135" s="91" t="s">
        <v>609</v>
      </c>
      <c r="B135" s="91" t="s">
        <v>604</v>
      </c>
      <c r="C135" s="76">
        <v>44900</v>
      </c>
      <c r="D135" s="103"/>
      <c r="E135" s="103"/>
      <c r="F135" s="58"/>
      <c r="G135" s="58"/>
      <c r="H135" s="58"/>
      <c r="I135" s="58"/>
      <c r="J135" s="58"/>
      <c r="K135" s="58"/>
      <c r="L135" s="58">
        <f t="shared" si="22"/>
        <v>0</v>
      </c>
      <c r="M135" s="58">
        <f t="shared" si="23"/>
        <v>0</v>
      </c>
      <c r="N135" s="58">
        <f t="shared" si="19"/>
        <v>0</v>
      </c>
      <c r="O135" s="58">
        <f t="shared" si="20"/>
        <v>0</v>
      </c>
      <c r="P135" s="58">
        <f t="shared" si="21"/>
        <v>0</v>
      </c>
      <c r="Q135" s="58"/>
    </row>
    <row r="136" spans="1:17" x14ac:dyDescent="0.25">
      <c r="A136" s="91" t="s">
        <v>610</v>
      </c>
      <c r="B136" s="91" t="s">
        <v>605</v>
      </c>
      <c r="C136" s="76">
        <v>44900</v>
      </c>
      <c r="D136" s="58"/>
      <c r="E136" s="58"/>
      <c r="F136" s="58"/>
      <c r="G136" s="58"/>
      <c r="H136" s="58"/>
      <c r="I136" s="58"/>
      <c r="J136" s="58"/>
      <c r="K136" s="58"/>
      <c r="L136" s="58">
        <f>E136-D136</f>
        <v>0</v>
      </c>
      <c r="M136" s="58">
        <f t="shared" si="23"/>
        <v>0</v>
      </c>
      <c r="N136" s="58">
        <f t="shared" si="19"/>
        <v>0</v>
      </c>
      <c r="O136" s="58">
        <f t="shared" si="20"/>
        <v>0</v>
      </c>
      <c r="P136" s="58">
        <f t="shared" si="21"/>
        <v>0</v>
      </c>
      <c r="Q136" s="58"/>
    </row>
    <row r="137" spans="1:17" x14ac:dyDescent="0.25">
      <c r="A137" s="91" t="s">
        <v>611</v>
      </c>
      <c r="B137" s="91" t="s">
        <v>606</v>
      </c>
      <c r="C137" s="76">
        <v>44938</v>
      </c>
      <c r="D137" s="103">
        <v>45210</v>
      </c>
      <c r="E137" s="103">
        <v>45215</v>
      </c>
      <c r="F137" s="103">
        <v>45261</v>
      </c>
      <c r="G137" s="103">
        <v>45281</v>
      </c>
      <c r="H137" s="58"/>
      <c r="I137" s="58"/>
      <c r="J137" s="58"/>
      <c r="K137" s="58"/>
      <c r="L137" s="58">
        <f t="shared" ref="L137:L138" si="24">E137-D137</f>
        <v>5</v>
      </c>
      <c r="M137" s="58">
        <f t="shared" si="23"/>
        <v>20</v>
      </c>
      <c r="N137" s="58">
        <f t="shared" ref="N137:N147" si="25">I137-H137</f>
        <v>0</v>
      </c>
      <c r="O137" s="58">
        <f t="shared" si="20"/>
        <v>0</v>
      </c>
      <c r="P137" s="58">
        <f t="shared" si="21"/>
        <v>25</v>
      </c>
      <c r="Q137" s="58"/>
    </row>
    <row r="138" spans="1:17" x14ac:dyDescent="0.25">
      <c r="A138" s="91" t="s">
        <v>613</v>
      </c>
      <c r="B138" s="91" t="s">
        <v>612</v>
      </c>
      <c r="C138" s="74">
        <v>44957</v>
      </c>
      <c r="D138" s="58"/>
      <c r="E138" s="58"/>
      <c r="F138" s="58"/>
      <c r="G138" s="58"/>
      <c r="H138" s="58"/>
      <c r="I138" s="58"/>
      <c r="J138" s="58"/>
      <c r="K138" s="58"/>
      <c r="L138" s="58">
        <f t="shared" si="24"/>
        <v>0</v>
      </c>
      <c r="M138" s="58">
        <f t="shared" si="23"/>
        <v>0</v>
      </c>
      <c r="N138" s="58">
        <f t="shared" si="25"/>
        <v>0</v>
      </c>
      <c r="O138" s="58">
        <f t="shared" si="20"/>
        <v>0</v>
      </c>
      <c r="P138" s="58">
        <f t="shared" si="21"/>
        <v>0</v>
      </c>
      <c r="Q138" s="58"/>
    </row>
    <row r="139" spans="1:17" x14ac:dyDescent="0.25">
      <c r="A139" s="91" t="s">
        <v>624</v>
      </c>
      <c r="B139" s="91" t="s">
        <v>615</v>
      </c>
      <c r="C139" s="76">
        <v>44967</v>
      </c>
      <c r="D139" s="103">
        <v>45262</v>
      </c>
      <c r="E139" s="103">
        <v>45279</v>
      </c>
      <c r="F139" s="58"/>
      <c r="G139" s="58"/>
      <c r="H139" s="58"/>
      <c r="I139" s="58"/>
      <c r="J139" s="58"/>
      <c r="K139" s="58"/>
      <c r="L139" s="58">
        <f t="shared" ref="L139:L147" si="26">E139-D139</f>
        <v>17</v>
      </c>
      <c r="M139" s="58">
        <f t="shared" si="23"/>
        <v>0</v>
      </c>
      <c r="N139" s="58">
        <f t="shared" si="25"/>
        <v>0</v>
      </c>
      <c r="O139" s="58">
        <f t="shared" si="20"/>
        <v>0</v>
      </c>
      <c r="P139" s="58">
        <f t="shared" si="21"/>
        <v>17</v>
      </c>
      <c r="Q139" s="58"/>
    </row>
    <row r="140" spans="1:17" x14ac:dyDescent="0.25">
      <c r="A140" s="91" t="s">
        <v>625</v>
      </c>
      <c r="B140" s="91" t="s">
        <v>616</v>
      </c>
      <c r="C140" s="76">
        <v>45002</v>
      </c>
      <c r="D140" s="58"/>
      <c r="E140" s="58"/>
      <c r="F140" s="58"/>
      <c r="G140" s="58"/>
      <c r="H140" s="58"/>
      <c r="I140" s="58"/>
      <c r="J140" s="58"/>
      <c r="K140" s="58"/>
      <c r="L140" s="58">
        <f t="shared" si="26"/>
        <v>0</v>
      </c>
      <c r="M140" s="58">
        <f t="shared" ref="M140:M147" si="27">G140-F140</f>
        <v>0</v>
      </c>
      <c r="N140" s="58">
        <f t="shared" si="25"/>
        <v>0</v>
      </c>
      <c r="O140" s="58">
        <f t="shared" si="20"/>
        <v>0</v>
      </c>
      <c r="P140" s="58">
        <f t="shared" si="21"/>
        <v>0</v>
      </c>
      <c r="Q140" s="58"/>
    </row>
    <row r="141" spans="1:17" x14ac:dyDescent="0.25">
      <c r="A141" s="91" t="s">
        <v>626</v>
      </c>
      <c r="B141" s="91" t="s">
        <v>617</v>
      </c>
      <c r="C141" s="76">
        <v>45024</v>
      </c>
      <c r="D141" s="103">
        <v>45105</v>
      </c>
      <c r="E141" s="103">
        <v>45119</v>
      </c>
      <c r="F141" s="58"/>
      <c r="G141" s="58"/>
      <c r="H141" s="58"/>
      <c r="I141" s="58"/>
      <c r="J141" s="58"/>
      <c r="K141" s="58"/>
      <c r="L141" s="58">
        <f t="shared" si="26"/>
        <v>14</v>
      </c>
      <c r="M141" s="58">
        <f t="shared" si="27"/>
        <v>0</v>
      </c>
      <c r="N141" s="58">
        <f t="shared" si="25"/>
        <v>0</v>
      </c>
      <c r="O141" s="58">
        <f t="shared" ref="O141:O147" si="28">J141-I141</f>
        <v>0</v>
      </c>
      <c r="P141" s="58">
        <f t="shared" ref="P141:P147" si="29">L141+M141+N141</f>
        <v>14</v>
      </c>
      <c r="Q141" s="58"/>
    </row>
    <row r="142" spans="1:17" x14ac:dyDescent="0.25">
      <c r="A142" s="91" t="s">
        <v>627</v>
      </c>
      <c r="B142" s="91" t="s">
        <v>618</v>
      </c>
      <c r="C142" s="76">
        <v>45031</v>
      </c>
      <c r="D142" s="58"/>
      <c r="E142" s="58"/>
      <c r="F142" s="58"/>
      <c r="G142" s="58"/>
      <c r="H142" s="58"/>
      <c r="I142" s="58"/>
      <c r="J142" s="58"/>
      <c r="K142" s="58"/>
      <c r="L142" s="58">
        <f t="shared" si="26"/>
        <v>0</v>
      </c>
      <c r="M142" s="58">
        <f t="shared" si="27"/>
        <v>0</v>
      </c>
      <c r="N142" s="58">
        <f t="shared" si="25"/>
        <v>0</v>
      </c>
      <c r="O142" s="58">
        <f t="shared" si="28"/>
        <v>0</v>
      </c>
      <c r="P142" s="58">
        <f t="shared" si="29"/>
        <v>0</v>
      </c>
      <c r="Q142" s="58"/>
    </row>
    <row r="143" spans="1:17" x14ac:dyDescent="0.25">
      <c r="A143" s="91" t="s">
        <v>628</v>
      </c>
      <c r="B143" s="91" t="s">
        <v>619</v>
      </c>
      <c r="C143" s="76">
        <v>45045</v>
      </c>
      <c r="D143" s="103"/>
      <c r="E143" s="103"/>
      <c r="F143" s="58"/>
      <c r="G143" s="58"/>
      <c r="H143" s="58"/>
      <c r="I143" s="58"/>
      <c r="J143" s="58"/>
      <c r="K143" s="58"/>
      <c r="L143" s="58">
        <f t="shared" si="26"/>
        <v>0</v>
      </c>
      <c r="M143" s="58">
        <f t="shared" si="27"/>
        <v>0</v>
      </c>
      <c r="N143" s="58">
        <f t="shared" si="25"/>
        <v>0</v>
      </c>
      <c r="O143" s="58">
        <f t="shared" si="28"/>
        <v>0</v>
      </c>
      <c r="P143" s="58">
        <f t="shared" si="29"/>
        <v>0</v>
      </c>
      <c r="Q143" s="58"/>
    </row>
    <row r="144" spans="1:17" x14ac:dyDescent="0.25">
      <c r="A144" s="91" t="s">
        <v>629</v>
      </c>
      <c r="B144" s="91" t="s">
        <v>620</v>
      </c>
      <c r="C144" s="76">
        <v>45068</v>
      </c>
      <c r="D144" s="58"/>
      <c r="E144" s="58"/>
      <c r="F144" s="58"/>
      <c r="G144" s="58"/>
      <c r="H144" s="58"/>
      <c r="I144" s="58"/>
      <c r="J144" s="58"/>
      <c r="K144" s="58"/>
      <c r="L144" s="58">
        <f t="shared" si="26"/>
        <v>0</v>
      </c>
      <c r="M144" s="58">
        <f t="shared" si="27"/>
        <v>0</v>
      </c>
      <c r="N144" s="58">
        <f t="shared" si="25"/>
        <v>0</v>
      </c>
      <c r="O144" s="58">
        <f t="shared" si="28"/>
        <v>0</v>
      </c>
      <c r="P144" s="58">
        <f t="shared" si="29"/>
        <v>0</v>
      </c>
      <c r="Q144" s="58"/>
    </row>
    <row r="145" spans="1:17" x14ac:dyDescent="0.25">
      <c r="A145" s="91" t="s">
        <v>630</v>
      </c>
      <c r="B145" s="91" t="s">
        <v>621</v>
      </c>
      <c r="C145" s="76">
        <v>45054</v>
      </c>
      <c r="D145" s="58"/>
      <c r="E145" s="58"/>
      <c r="F145" s="58"/>
      <c r="G145" s="58"/>
      <c r="H145" s="58"/>
      <c r="I145" s="58"/>
      <c r="J145" s="58"/>
      <c r="K145" s="58"/>
      <c r="L145" s="58">
        <f t="shared" si="26"/>
        <v>0</v>
      </c>
      <c r="M145" s="58">
        <f t="shared" si="27"/>
        <v>0</v>
      </c>
      <c r="N145" s="58">
        <f t="shared" si="25"/>
        <v>0</v>
      </c>
      <c r="O145" s="58">
        <f t="shared" si="28"/>
        <v>0</v>
      </c>
      <c r="P145" s="58">
        <f t="shared" si="29"/>
        <v>0</v>
      </c>
      <c r="Q145" s="58"/>
    </row>
    <row r="146" spans="1:17" x14ac:dyDescent="0.25">
      <c r="A146" s="91" t="s">
        <v>631</v>
      </c>
      <c r="B146" s="91" t="s">
        <v>622</v>
      </c>
      <c r="C146" s="76">
        <v>45104</v>
      </c>
      <c r="D146" s="58"/>
      <c r="E146" s="58"/>
      <c r="F146" s="58"/>
      <c r="G146" s="58"/>
      <c r="H146" s="58"/>
      <c r="I146" s="58"/>
      <c r="J146" s="58"/>
      <c r="K146" s="58"/>
      <c r="L146" s="58">
        <f t="shared" si="26"/>
        <v>0</v>
      </c>
      <c r="M146" s="58">
        <f t="shared" si="27"/>
        <v>0</v>
      </c>
      <c r="N146" s="58">
        <f t="shared" si="25"/>
        <v>0</v>
      </c>
      <c r="O146" s="58">
        <f t="shared" si="28"/>
        <v>0</v>
      </c>
      <c r="P146" s="58">
        <f t="shared" si="29"/>
        <v>0</v>
      </c>
      <c r="Q146" s="58"/>
    </row>
    <row r="147" spans="1:17" x14ac:dyDescent="0.25">
      <c r="A147" s="91" t="s">
        <v>632</v>
      </c>
      <c r="B147" s="91" t="s">
        <v>623</v>
      </c>
      <c r="C147" s="76">
        <v>45105</v>
      </c>
      <c r="D147" s="58"/>
      <c r="E147" s="58"/>
      <c r="F147" s="58"/>
      <c r="G147" s="58"/>
      <c r="H147" s="58"/>
      <c r="I147" s="58"/>
      <c r="J147" s="58"/>
      <c r="K147" s="58"/>
      <c r="L147" s="58">
        <f t="shared" si="26"/>
        <v>0</v>
      </c>
      <c r="M147" s="58">
        <f t="shared" si="27"/>
        <v>0</v>
      </c>
      <c r="N147" s="58">
        <f t="shared" si="25"/>
        <v>0</v>
      </c>
      <c r="O147" s="58">
        <f t="shared" si="28"/>
        <v>0</v>
      </c>
      <c r="P147" s="58">
        <f t="shared" si="29"/>
        <v>0</v>
      </c>
      <c r="Q147" s="58"/>
    </row>
    <row r="148" spans="1:17" x14ac:dyDescent="0.25">
      <c r="A148" s="91" t="s">
        <v>640</v>
      </c>
      <c r="B148" s="91" t="s">
        <v>635</v>
      </c>
      <c r="C148" s="76">
        <v>45110</v>
      </c>
      <c r="D148" s="109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</row>
    <row r="149" spans="1:17" x14ac:dyDescent="0.25">
      <c r="A149" s="91" t="s">
        <v>641</v>
      </c>
      <c r="B149" s="91" t="s">
        <v>636</v>
      </c>
      <c r="C149" s="76">
        <v>45114</v>
      </c>
      <c r="D149" s="109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</row>
    <row r="150" spans="1:17" x14ac:dyDescent="0.25">
      <c r="A150" s="91" t="s">
        <v>642</v>
      </c>
      <c r="B150" s="91" t="s">
        <v>637</v>
      </c>
      <c r="C150" s="76">
        <v>45156</v>
      </c>
      <c r="D150" s="109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</row>
    <row r="151" spans="1:17" x14ac:dyDescent="0.25">
      <c r="A151" s="91" t="s">
        <v>643</v>
      </c>
      <c r="B151" s="91" t="s">
        <v>638</v>
      </c>
      <c r="C151" s="76">
        <v>45155</v>
      </c>
      <c r="D151" s="109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</row>
    <row r="152" spans="1:17" x14ac:dyDescent="0.25">
      <c r="A152" s="91" t="s">
        <v>644</v>
      </c>
      <c r="B152" s="91" t="s">
        <v>639</v>
      </c>
      <c r="C152" s="76">
        <v>45159</v>
      </c>
      <c r="D152" s="109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</row>
  </sheetData>
  <mergeCells count="4">
    <mergeCell ref="D1:E1"/>
    <mergeCell ref="F1:G1"/>
    <mergeCell ref="H1:I1"/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2"/>
  <sheetViews>
    <sheetView workbookViewId="0">
      <pane ySplit="1" topLeftCell="A2" activePane="bottomLeft" state="frozen"/>
      <selection pane="bottomLeft" activeCell="D33" sqref="D33"/>
    </sheetView>
  </sheetViews>
  <sheetFormatPr defaultRowHeight="15" x14ac:dyDescent="0.25"/>
  <cols>
    <col min="1" max="1" width="7" customWidth="1"/>
    <col min="2" max="2" width="39.85546875" customWidth="1"/>
    <col min="3" max="3" width="12.28515625" style="79" customWidth="1"/>
    <col min="4" max="4" width="13.85546875" customWidth="1"/>
    <col min="5" max="5" width="12.5703125" customWidth="1"/>
    <col min="6" max="6" width="13.5703125" customWidth="1"/>
    <col min="7" max="7" width="15.28515625" customWidth="1"/>
    <col min="8" max="8" width="12.140625" customWidth="1"/>
    <col min="9" max="9" width="13.42578125" customWidth="1"/>
    <col min="10" max="10" width="11.85546875" customWidth="1"/>
    <col min="11" max="11" width="10.7109375" hidden="1" customWidth="1"/>
    <col min="12" max="12" width="9.28515625" style="82" customWidth="1"/>
    <col min="13" max="13" width="9.140625" style="82" customWidth="1"/>
    <col min="14" max="14" width="8.42578125" style="82" customWidth="1"/>
    <col min="15" max="15" width="7.42578125" style="82" customWidth="1"/>
    <col min="16" max="16" width="8" style="82" customWidth="1"/>
    <col min="17" max="17" width="8.85546875" customWidth="1"/>
    <col min="18" max="18" width="9.85546875" customWidth="1"/>
    <col min="19" max="19" width="8" customWidth="1"/>
    <col min="20" max="20" width="8.42578125" customWidth="1"/>
    <col min="21" max="21" width="8.85546875" customWidth="1"/>
    <col min="22" max="22" width="8.42578125" customWidth="1"/>
    <col min="23" max="23" width="8.7109375" customWidth="1"/>
    <col min="24" max="25" width="8.5703125" customWidth="1"/>
  </cols>
  <sheetData>
    <row r="1" spans="1:17" ht="41.25" customHeight="1" x14ac:dyDescent="0.25">
      <c r="A1" s="70" t="s">
        <v>130</v>
      </c>
      <c r="B1" s="71" t="s">
        <v>126</v>
      </c>
      <c r="C1" s="73" t="s">
        <v>131</v>
      </c>
      <c r="D1" s="144" t="s">
        <v>127</v>
      </c>
      <c r="E1" s="144"/>
      <c r="F1" s="144" t="s">
        <v>128</v>
      </c>
      <c r="G1" s="144"/>
      <c r="H1" s="144" t="s">
        <v>215</v>
      </c>
      <c r="I1" s="144"/>
      <c r="J1" s="148" t="s">
        <v>483</v>
      </c>
      <c r="K1" s="149"/>
      <c r="L1" s="80">
        <v>1</v>
      </c>
      <c r="M1" s="80">
        <v>2</v>
      </c>
      <c r="N1" s="80">
        <v>3</v>
      </c>
      <c r="O1" s="80">
        <v>4</v>
      </c>
      <c r="P1" s="80" t="s">
        <v>72</v>
      </c>
      <c r="Q1" s="72" t="s">
        <v>378</v>
      </c>
    </row>
    <row r="2" spans="1:17" x14ac:dyDescent="0.25">
      <c r="A2" s="4">
        <v>1</v>
      </c>
      <c r="B2" s="6" t="s">
        <v>1</v>
      </c>
      <c r="C2" s="74">
        <v>39295</v>
      </c>
      <c r="D2" s="30">
        <v>44753</v>
      </c>
      <c r="E2" s="30">
        <v>44763</v>
      </c>
      <c r="F2" s="26"/>
      <c r="G2" s="26"/>
      <c r="H2" s="26"/>
      <c r="I2" s="26"/>
      <c r="J2" s="26"/>
      <c r="K2" s="26"/>
      <c r="L2" s="81">
        <f t="shared" ref="L2:L33" si="0">E2-D2</f>
        <v>10</v>
      </c>
      <c r="M2" s="81">
        <f t="shared" ref="M2:M33" si="1">G2-F2</f>
        <v>0</v>
      </c>
      <c r="N2" s="81">
        <f>I2-H2</f>
        <v>0</v>
      </c>
      <c r="O2" s="81"/>
      <c r="P2" s="81">
        <f t="shared" ref="P2:P13" si="2">L2+M2+N2</f>
        <v>10</v>
      </c>
      <c r="Q2" s="22"/>
    </row>
    <row r="3" spans="1:17" x14ac:dyDescent="0.25">
      <c r="A3" s="4">
        <v>2</v>
      </c>
      <c r="B3" s="6" t="s">
        <v>179</v>
      </c>
      <c r="C3" s="74">
        <v>41883</v>
      </c>
      <c r="D3" s="26">
        <v>44619</v>
      </c>
      <c r="E3" s="26">
        <v>44641</v>
      </c>
      <c r="F3" s="62"/>
      <c r="G3" s="62"/>
      <c r="H3" s="22"/>
      <c r="I3" s="22"/>
      <c r="J3" s="22"/>
      <c r="K3" s="22"/>
      <c r="L3" s="81">
        <f t="shared" si="0"/>
        <v>22</v>
      </c>
      <c r="M3" s="81">
        <f t="shared" si="1"/>
        <v>0</v>
      </c>
      <c r="N3" s="81">
        <f t="shared" ref="N3:N64" si="3">I3-H3</f>
        <v>0</v>
      </c>
      <c r="O3" s="81"/>
      <c r="P3" s="81">
        <f t="shared" si="2"/>
        <v>22</v>
      </c>
      <c r="Q3" s="22"/>
    </row>
    <row r="4" spans="1:17" x14ac:dyDescent="0.25">
      <c r="A4" s="4">
        <v>3</v>
      </c>
      <c r="B4" s="6" t="s">
        <v>180</v>
      </c>
      <c r="C4" s="74">
        <v>41883</v>
      </c>
      <c r="D4" s="26">
        <v>44595</v>
      </c>
      <c r="E4" s="26">
        <v>44624</v>
      </c>
      <c r="F4" s="26"/>
      <c r="G4" s="26"/>
      <c r="H4" s="22"/>
      <c r="I4" s="22"/>
      <c r="J4" s="22"/>
      <c r="K4" s="22"/>
      <c r="L4" s="81">
        <f t="shared" si="0"/>
        <v>29</v>
      </c>
      <c r="M4" s="81">
        <f t="shared" si="1"/>
        <v>0</v>
      </c>
      <c r="N4" s="81">
        <f t="shared" si="3"/>
        <v>0</v>
      </c>
      <c r="O4" s="81"/>
      <c r="P4" s="81">
        <f t="shared" si="2"/>
        <v>29</v>
      </c>
      <c r="Q4" s="22"/>
    </row>
    <row r="5" spans="1:17" x14ac:dyDescent="0.25">
      <c r="A5" s="4">
        <v>4</v>
      </c>
      <c r="B5" s="6" t="s">
        <v>231</v>
      </c>
      <c r="C5" s="74">
        <v>42736</v>
      </c>
      <c r="D5" s="26"/>
      <c r="E5" s="26"/>
      <c r="F5" s="22"/>
      <c r="G5" s="22"/>
      <c r="H5" s="22"/>
      <c r="I5" s="22"/>
      <c r="J5" s="22"/>
      <c r="K5" s="22"/>
      <c r="L5" s="81">
        <f t="shared" si="0"/>
        <v>0</v>
      </c>
      <c r="M5" s="81">
        <f t="shared" si="1"/>
        <v>0</v>
      </c>
      <c r="N5" s="81">
        <f t="shared" si="3"/>
        <v>0</v>
      </c>
      <c r="O5" s="81"/>
      <c r="P5" s="81">
        <f t="shared" si="2"/>
        <v>0</v>
      </c>
      <c r="Q5" s="22"/>
    </row>
    <row r="6" spans="1:17" x14ac:dyDescent="0.25">
      <c r="A6" s="4">
        <v>5</v>
      </c>
      <c r="B6" s="6" t="s">
        <v>5</v>
      </c>
      <c r="C6" s="74">
        <v>40695</v>
      </c>
      <c r="D6" s="26"/>
      <c r="E6" s="26"/>
      <c r="F6" s="26"/>
      <c r="G6" s="26"/>
      <c r="H6" s="22"/>
      <c r="I6" s="22"/>
      <c r="J6" s="22"/>
      <c r="K6" s="22"/>
      <c r="L6" s="81">
        <f t="shared" si="0"/>
        <v>0</v>
      </c>
      <c r="M6" s="81">
        <f t="shared" si="1"/>
        <v>0</v>
      </c>
      <c r="N6" s="81">
        <f t="shared" si="3"/>
        <v>0</v>
      </c>
      <c r="O6" s="81"/>
      <c r="P6" s="81">
        <f t="shared" si="2"/>
        <v>0</v>
      </c>
      <c r="Q6" s="22"/>
    </row>
    <row r="7" spans="1:17" x14ac:dyDescent="0.25">
      <c r="A7" s="4">
        <v>6</v>
      </c>
      <c r="B7" s="6" t="s">
        <v>294</v>
      </c>
      <c r="C7" s="74">
        <v>44317</v>
      </c>
      <c r="D7" s="26"/>
      <c r="E7" s="26"/>
      <c r="F7" s="26"/>
      <c r="G7" s="26"/>
      <c r="H7" s="22"/>
      <c r="I7" s="22"/>
      <c r="J7" s="22"/>
      <c r="K7" s="22"/>
      <c r="L7" s="81">
        <f t="shared" si="0"/>
        <v>0</v>
      </c>
      <c r="M7" s="81">
        <f t="shared" si="1"/>
        <v>0</v>
      </c>
      <c r="N7" s="81">
        <f t="shared" si="3"/>
        <v>0</v>
      </c>
      <c r="O7" s="81"/>
      <c r="P7" s="81">
        <f t="shared" si="2"/>
        <v>0</v>
      </c>
      <c r="Q7" s="22"/>
    </row>
    <row r="8" spans="1:17" x14ac:dyDescent="0.25">
      <c r="A8" s="4">
        <v>7</v>
      </c>
      <c r="B8" s="6" t="s">
        <v>314</v>
      </c>
      <c r="C8" s="74">
        <v>44501</v>
      </c>
      <c r="D8" s="26"/>
      <c r="E8" s="26"/>
      <c r="F8" s="26"/>
      <c r="G8" s="26"/>
      <c r="H8" s="22"/>
      <c r="I8" s="22"/>
      <c r="J8" s="22"/>
      <c r="K8" s="22"/>
      <c r="L8" s="81">
        <f t="shared" si="0"/>
        <v>0</v>
      </c>
      <c r="M8" s="81">
        <f t="shared" si="1"/>
        <v>0</v>
      </c>
      <c r="N8" s="81">
        <f t="shared" si="3"/>
        <v>0</v>
      </c>
      <c r="O8" s="81"/>
      <c r="P8" s="81">
        <f t="shared" si="2"/>
        <v>0</v>
      </c>
      <c r="Q8" s="22"/>
    </row>
    <row r="9" spans="1:17" x14ac:dyDescent="0.25">
      <c r="A9" s="4">
        <v>8</v>
      </c>
      <c r="B9" s="60" t="s">
        <v>336</v>
      </c>
      <c r="C9" s="74">
        <v>44317</v>
      </c>
      <c r="D9" s="26"/>
      <c r="E9" s="26"/>
      <c r="F9" s="26"/>
      <c r="G9" s="26"/>
      <c r="H9" s="22"/>
      <c r="I9" s="22"/>
      <c r="J9" s="22"/>
      <c r="K9" s="22"/>
      <c r="L9" s="81">
        <f t="shared" si="0"/>
        <v>0</v>
      </c>
      <c r="M9" s="81">
        <f t="shared" si="1"/>
        <v>0</v>
      </c>
      <c r="N9" s="81">
        <f>I9-H9</f>
        <v>0</v>
      </c>
      <c r="O9" s="81"/>
      <c r="P9" s="81">
        <f t="shared" si="2"/>
        <v>0</v>
      </c>
      <c r="Q9" s="22"/>
    </row>
    <row r="10" spans="1:17" x14ac:dyDescent="0.25">
      <c r="A10" s="4">
        <v>9</v>
      </c>
      <c r="B10" s="6" t="s">
        <v>6</v>
      </c>
      <c r="C10" s="74">
        <v>39083</v>
      </c>
      <c r="D10" s="26">
        <v>44652</v>
      </c>
      <c r="E10" s="26">
        <v>44662</v>
      </c>
      <c r="F10" s="26">
        <v>44752</v>
      </c>
      <c r="G10" s="26">
        <v>44757</v>
      </c>
      <c r="H10" s="26"/>
      <c r="I10" s="26"/>
      <c r="J10" s="26"/>
      <c r="K10" s="26"/>
      <c r="L10" s="81">
        <f t="shared" si="0"/>
        <v>10</v>
      </c>
      <c r="M10" s="81">
        <f t="shared" si="1"/>
        <v>5</v>
      </c>
      <c r="N10" s="81">
        <f t="shared" si="3"/>
        <v>0</v>
      </c>
      <c r="O10" s="81"/>
      <c r="P10" s="81">
        <f t="shared" si="2"/>
        <v>15</v>
      </c>
      <c r="Q10" s="22"/>
    </row>
    <row r="11" spans="1:17" x14ac:dyDescent="0.25">
      <c r="A11" s="4">
        <v>10</v>
      </c>
      <c r="B11" s="6" t="s">
        <v>10</v>
      </c>
      <c r="C11" s="74">
        <v>39083</v>
      </c>
      <c r="D11" s="26">
        <v>44648</v>
      </c>
      <c r="E11" s="26">
        <v>44653</v>
      </c>
      <c r="F11" s="26">
        <v>44764</v>
      </c>
      <c r="G11" s="26">
        <v>44782</v>
      </c>
      <c r="H11" s="26"/>
      <c r="I11" s="26"/>
      <c r="J11" s="26"/>
      <c r="K11" s="26"/>
      <c r="L11" s="81">
        <f t="shared" si="0"/>
        <v>5</v>
      </c>
      <c r="M11" s="83">
        <f t="shared" si="1"/>
        <v>18</v>
      </c>
      <c r="N11" s="81">
        <f t="shared" si="3"/>
        <v>0</v>
      </c>
      <c r="O11" s="81"/>
      <c r="P11" s="81">
        <f t="shared" si="2"/>
        <v>23</v>
      </c>
      <c r="Q11" s="22"/>
    </row>
    <row r="12" spans="1:17" x14ac:dyDescent="0.25">
      <c r="A12" s="4">
        <v>11</v>
      </c>
      <c r="B12" s="6" t="s">
        <v>11</v>
      </c>
      <c r="C12" s="74">
        <v>39083</v>
      </c>
      <c r="D12" s="26">
        <v>44760</v>
      </c>
      <c r="E12" s="26">
        <v>44764</v>
      </c>
      <c r="F12" s="26">
        <v>44784</v>
      </c>
      <c r="G12" s="26">
        <v>44796</v>
      </c>
      <c r="H12" s="22"/>
      <c r="I12" s="22"/>
      <c r="J12" s="22"/>
      <c r="K12" s="22"/>
      <c r="L12" s="81">
        <f t="shared" si="0"/>
        <v>4</v>
      </c>
      <c r="M12" s="81">
        <f t="shared" si="1"/>
        <v>12</v>
      </c>
      <c r="N12" s="81">
        <f t="shared" si="3"/>
        <v>0</v>
      </c>
      <c r="O12" s="81"/>
      <c r="P12" s="81">
        <f t="shared" si="2"/>
        <v>16</v>
      </c>
      <c r="Q12" s="22"/>
    </row>
    <row r="13" spans="1:17" x14ac:dyDescent="0.25">
      <c r="A13" s="4">
        <v>12</v>
      </c>
      <c r="B13" s="6" t="s">
        <v>12</v>
      </c>
      <c r="C13" s="74">
        <v>39142</v>
      </c>
      <c r="D13" s="26">
        <v>44704</v>
      </c>
      <c r="E13" s="26">
        <v>44712</v>
      </c>
      <c r="F13" s="22"/>
      <c r="G13" s="22"/>
      <c r="H13" s="22"/>
      <c r="I13" s="22"/>
      <c r="J13" s="22"/>
      <c r="K13" s="22"/>
      <c r="L13" s="81">
        <f t="shared" si="0"/>
        <v>8</v>
      </c>
      <c r="M13" s="81">
        <f t="shared" si="1"/>
        <v>0</v>
      </c>
      <c r="N13" s="81">
        <f t="shared" si="3"/>
        <v>0</v>
      </c>
      <c r="O13" s="81"/>
      <c r="P13" s="81">
        <f t="shared" si="2"/>
        <v>8</v>
      </c>
      <c r="Q13" s="22"/>
    </row>
    <row r="14" spans="1:17" s="69" customFormat="1" ht="14.25" customHeight="1" x14ac:dyDescent="0.25">
      <c r="A14" s="84">
        <v>13</v>
      </c>
      <c r="B14" s="67" t="s">
        <v>192</v>
      </c>
      <c r="C14" s="85">
        <v>42036</v>
      </c>
      <c r="D14" s="86">
        <v>44562</v>
      </c>
      <c r="E14" s="86">
        <v>44592</v>
      </c>
      <c r="F14" s="86">
        <v>44748</v>
      </c>
      <c r="G14" s="86">
        <v>44760</v>
      </c>
      <c r="H14" s="86">
        <v>44809</v>
      </c>
      <c r="I14" s="86">
        <v>44820</v>
      </c>
      <c r="J14" s="26">
        <v>44919</v>
      </c>
      <c r="K14" s="26">
        <v>44926</v>
      </c>
      <c r="L14" s="87">
        <f t="shared" si="0"/>
        <v>30</v>
      </c>
      <c r="M14" s="87">
        <f t="shared" si="1"/>
        <v>12</v>
      </c>
      <c r="N14" s="87">
        <f>I14-H14</f>
        <v>11</v>
      </c>
      <c r="O14" s="87">
        <f>K14-J14</f>
        <v>7</v>
      </c>
      <c r="P14" s="87">
        <f>L14+M14+N14+O14</f>
        <v>60</v>
      </c>
      <c r="Q14" s="68"/>
    </row>
    <row r="15" spans="1:17" x14ac:dyDescent="0.25">
      <c r="A15" s="4">
        <v>14</v>
      </c>
      <c r="B15" s="6" t="s">
        <v>13</v>
      </c>
      <c r="C15" s="74">
        <v>39083</v>
      </c>
      <c r="D15" s="26">
        <v>44767</v>
      </c>
      <c r="E15" s="26">
        <v>44802</v>
      </c>
      <c r="F15" s="22"/>
      <c r="G15" s="22"/>
      <c r="H15" s="22"/>
      <c r="I15" s="22"/>
      <c r="J15" s="22"/>
      <c r="K15" s="22"/>
      <c r="L15" s="81">
        <f t="shared" si="0"/>
        <v>35</v>
      </c>
      <c r="M15" s="81">
        <f t="shared" si="1"/>
        <v>0</v>
      </c>
      <c r="N15" s="81">
        <f t="shared" si="3"/>
        <v>0</v>
      </c>
      <c r="O15" s="81"/>
      <c r="P15" s="81">
        <f t="shared" ref="P15:P46" si="4">L15+M15+N15</f>
        <v>35</v>
      </c>
      <c r="Q15" s="22"/>
    </row>
    <row r="16" spans="1:17" x14ac:dyDescent="0.25">
      <c r="A16" s="4">
        <v>15</v>
      </c>
      <c r="B16" s="6" t="s">
        <v>145</v>
      </c>
      <c r="C16" s="74">
        <v>41334</v>
      </c>
      <c r="D16" s="26">
        <v>44801</v>
      </c>
      <c r="E16" s="26">
        <v>44812</v>
      </c>
      <c r="F16" s="22"/>
      <c r="G16" s="22"/>
      <c r="H16" s="22"/>
      <c r="I16" s="22"/>
      <c r="J16" s="22"/>
      <c r="K16" s="22"/>
      <c r="L16" s="81">
        <f t="shared" si="0"/>
        <v>11</v>
      </c>
      <c r="M16" s="81">
        <f t="shared" si="1"/>
        <v>0</v>
      </c>
      <c r="N16" s="81">
        <f t="shared" si="3"/>
        <v>0</v>
      </c>
      <c r="O16" s="81"/>
      <c r="P16" s="81">
        <f t="shared" si="4"/>
        <v>11</v>
      </c>
      <c r="Q16" s="22"/>
    </row>
    <row r="17" spans="1:17" x14ac:dyDescent="0.25">
      <c r="A17" s="4">
        <v>16</v>
      </c>
      <c r="B17" s="6" t="s">
        <v>21</v>
      </c>
      <c r="C17" s="75">
        <v>40483</v>
      </c>
      <c r="D17" s="26">
        <v>44593</v>
      </c>
      <c r="E17" s="26">
        <v>44613</v>
      </c>
      <c r="F17" s="26"/>
      <c r="G17" s="26"/>
      <c r="H17" s="22"/>
      <c r="I17" s="22"/>
      <c r="J17" s="22"/>
      <c r="K17" s="22"/>
      <c r="L17" s="81">
        <f t="shared" si="0"/>
        <v>20</v>
      </c>
      <c r="M17" s="81">
        <f t="shared" si="1"/>
        <v>0</v>
      </c>
      <c r="N17" s="81">
        <f t="shared" si="3"/>
        <v>0</v>
      </c>
      <c r="O17" s="81"/>
      <c r="P17" s="81">
        <f t="shared" si="4"/>
        <v>20</v>
      </c>
      <c r="Q17" s="22"/>
    </row>
    <row r="18" spans="1:17" x14ac:dyDescent="0.25">
      <c r="A18" s="4">
        <v>17</v>
      </c>
      <c r="B18" s="6" t="s">
        <v>323</v>
      </c>
      <c r="C18" s="75">
        <v>44652</v>
      </c>
      <c r="D18" s="26">
        <v>44919</v>
      </c>
      <c r="E18" s="26">
        <v>44926</v>
      </c>
      <c r="F18" s="26"/>
      <c r="G18" s="26"/>
      <c r="H18" s="22"/>
      <c r="I18" s="22"/>
      <c r="J18" s="22"/>
      <c r="K18" s="22"/>
      <c r="L18" s="81">
        <f t="shared" si="0"/>
        <v>7</v>
      </c>
      <c r="M18" s="81">
        <f t="shared" si="1"/>
        <v>0</v>
      </c>
      <c r="N18" s="81">
        <f>I18-H18</f>
        <v>0</v>
      </c>
      <c r="O18" s="81"/>
      <c r="P18" s="81">
        <f t="shared" si="4"/>
        <v>7</v>
      </c>
      <c r="Q18" s="22"/>
    </row>
    <row r="19" spans="1:17" x14ac:dyDescent="0.25">
      <c r="A19" s="4">
        <v>18</v>
      </c>
      <c r="B19" s="6" t="s">
        <v>324</v>
      </c>
      <c r="C19" s="75">
        <v>44652</v>
      </c>
      <c r="D19" s="26"/>
      <c r="E19" s="26"/>
      <c r="F19" s="26"/>
      <c r="G19" s="26"/>
      <c r="H19" s="22"/>
      <c r="I19" s="22"/>
      <c r="J19" s="22"/>
      <c r="K19" s="22"/>
      <c r="L19" s="81">
        <f t="shared" si="0"/>
        <v>0</v>
      </c>
      <c r="M19" s="81">
        <f t="shared" si="1"/>
        <v>0</v>
      </c>
      <c r="N19" s="81">
        <f>I19-H19</f>
        <v>0</v>
      </c>
      <c r="O19" s="81"/>
      <c r="P19" s="81">
        <f t="shared" si="4"/>
        <v>0</v>
      </c>
      <c r="Q19" s="22"/>
    </row>
    <row r="20" spans="1:17" x14ac:dyDescent="0.25">
      <c r="A20" s="4">
        <v>19</v>
      </c>
      <c r="B20" s="6" t="s">
        <v>335</v>
      </c>
      <c r="C20" s="75">
        <v>44652</v>
      </c>
      <c r="D20" s="26"/>
      <c r="E20" s="26"/>
      <c r="F20" s="26"/>
      <c r="G20" s="26"/>
      <c r="H20" s="22"/>
      <c r="I20" s="22"/>
      <c r="J20" s="22"/>
      <c r="K20" s="22"/>
      <c r="L20" s="81">
        <f t="shared" si="0"/>
        <v>0</v>
      </c>
      <c r="M20" s="81">
        <f t="shared" si="1"/>
        <v>0</v>
      </c>
      <c r="N20" s="81">
        <f>I20-H20</f>
        <v>0</v>
      </c>
      <c r="O20" s="81"/>
      <c r="P20" s="81">
        <f t="shared" si="4"/>
        <v>0</v>
      </c>
      <c r="Q20" s="22"/>
    </row>
    <row r="21" spans="1:17" x14ac:dyDescent="0.25">
      <c r="A21" s="4">
        <v>20</v>
      </c>
      <c r="B21" s="6" t="s">
        <v>342</v>
      </c>
      <c r="C21" s="75">
        <v>44682</v>
      </c>
      <c r="D21" s="26"/>
      <c r="E21" s="26"/>
      <c r="F21" s="26"/>
      <c r="G21" s="26"/>
      <c r="H21" s="22"/>
      <c r="I21" s="22"/>
      <c r="J21" s="22"/>
      <c r="K21" s="22"/>
      <c r="L21" s="81">
        <f t="shared" si="0"/>
        <v>0</v>
      </c>
      <c r="M21" s="81">
        <f t="shared" si="1"/>
        <v>0</v>
      </c>
      <c r="N21" s="81">
        <f>I21-H21</f>
        <v>0</v>
      </c>
      <c r="O21" s="81"/>
      <c r="P21" s="81">
        <f t="shared" si="4"/>
        <v>0</v>
      </c>
      <c r="Q21" s="22"/>
    </row>
    <row r="22" spans="1:17" x14ac:dyDescent="0.25">
      <c r="A22" s="4">
        <v>21</v>
      </c>
      <c r="B22" s="6" t="s">
        <v>137</v>
      </c>
      <c r="C22" s="75">
        <v>41244</v>
      </c>
      <c r="D22" s="26">
        <v>44706</v>
      </c>
      <c r="E22" s="26">
        <v>44751</v>
      </c>
      <c r="F22" s="22"/>
      <c r="G22" s="22"/>
      <c r="H22" s="22"/>
      <c r="I22" s="22"/>
      <c r="J22" s="22"/>
      <c r="K22" s="22"/>
      <c r="L22" s="81">
        <f t="shared" si="0"/>
        <v>45</v>
      </c>
      <c r="M22" s="81">
        <f t="shared" si="1"/>
        <v>0</v>
      </c>
      <c r="N22" s="81">
        <f t="shared" si="3"/>
        <v>0</v>
      </c>
      <c r="O22" s="81"/>
      <c r="P22" s="81">
        <f t="shared" si="4"/>
        <v>45</v>
      </c>
      <c r="Q22" s="22"/>
    </row>
    <row r="23" spans="1:17" x14ac:dyDescent="0.25">
      <c r="A23" s="4">
        <v>22</v>
      </c>
      <c r="B23" s="6" t="s">
        <v>163</v>
      </c>
      <c r="C23" s="75">
        <v>41518</v>
      </c>
      <c r="D23" s="26">
        <v>44591</v>
      </c>
      <c r="E23" s="26">
        <v>44656</v>
      </c>
      <c r="F23" s="22"/>
      <c r="G23" s="22"/>
      <c r="H23" s="22"/>
      <c r="I23" s="22"/>
      <c r="J23" s="22"/>
      <c r="K23" s="22"/>
      <c r="L23" s="81">
        <f t="shared" si="0"/>
        <v>65</v>
      </c>
      <c r="M23" s="81">
        <f t="shared" si="1"/>
        <v>0</v>
      </c>
      <c r="N23" s="81">
        <f t="shared" si="3"/>
        <v>0</v>
      </c>
      <c r="O23" s="81"/>
      <c r="P23" s="81">
        <f t="shared" si="4"/>
        <v>65</v>
      </c>
      <c r="Q23" s="22"/>
    </row>
    <row r="24" spans="1:17" x14ac:dyDescent="0.25">
      <c r="A24" s="4">
        <v>23</v>
      </c>
      <c r="B24" s="6" t="s">
        <v>182</v>
      </c>
      <c r="C24" s="75">
        <v>41883</v>
      </c>
      <c r="D24" s="26">
        <v>44562</v>
      </c>
      <c r="E24" s="26">
        <v>44604</v>
      </c>
      <c r="F24" s="26"/>
      <c r="G24" s="26"/>
      <c r="H24" s="22"/>
      <c r="I24" s="22"/>
      <c r="J24" s="22"/>
      <c r="K24" s="22"/>
      <c r="L24" s="81">
        <f t="shared" si="0"/>
        <v>42</v>
      </c>
      <c r="M24" s="81">
        <f t="shared" si="1"/>
        <v>0</v>
      </c>
      <c r="N24" s="81">
        <f t="shared" si="3"/>
        <v>0</v>
      </c>
      <c r="O24" s="81"/>
      <c r="P24" s="81">
        <f t="shared" si="4"/>
        <v>42</v>
      </c>
      <c r="Q24" s="22"/>
    </row>
    <row r="25" spans="1:17" x14ac:dyDescent="0.25">
      <c r="A25" s="4">
        <v>24</v>
      </c>
      <c r="B25" s="6" t="s">
        <v>183</v>
      </c>
      <c r="C25" s="75">
        <v>41913</v>
      </c>
      <c r="D25" s="26"/>
      <c r="E25" s="26"/>
      <c r="F25" s="22"/>
      <c r="G25" s="22"/>
      <c r="H25" s="22"/>
      <c r="I25" s="22"/>
      <c r="J25" s="22"/>
      <c r="K25" s="22"/>
      <c r="L25" s="81">
        <f t="shared" si="0"/>
        <v>0</v>
      </c>
      <c r="M25" s="81">
        <f t="shared" si="1"/>
        <v>0</v>
      </c>
      <c r="N25" s="81">
        <f t="shared" si="3"/>
        <v>0</v>
      </c>
      <c r="O25" s="81"/>
      <c r="P25" s="81">
        <f t="shared" si="4"/>
        <v>0</v>
      </c>
      <c r="Q25" s="22"/>
    </row>
    <row r="26" spans="1:17" x14ac:dyDescent="0.25">
      <c r="A26" s="4">
        <v>25</v>
      </c>
      <c r="B26" s="6" t="s">
        <v>196</v>
      </c>
      <c r="C26" s="76">
        <v>42005</v>
      </c>
      <c r="D26" s="26">
        <v>44693</v>
      </c>
      <c r="E26" s="26">
        <v>44755</v>
      </c>
      <c r="F26" s="26"/>
      <c r="G26" s="26"/>
      <c r="H26" s="22"/>
      <c r="I26" s="22"/>
      <c r="J26" s="22"/>
      <c r="K26" s="22"/>
      <c r="L26" s="81">
        <f t="shared" si="0"/>
        <v>62</v>
      </c>
      <c r="M26" s="81">
        <f t="shared" si="1"/>
        <v>0</v>
      </c>
      <c r="N26" s="81">
        <f t="shared" si="3"/>
        <v>0</v>
      </c>
      <c r="O26" s="81"/>
      <c r="P26" s="81">
        <f t="shared" si="4"/>
        <v>62</v>
      </c>
      <c r="Q26" s="22"/>
    </row>
    <row r="27" spans="1:17" x14ac:dyDescent="0.25">
      <c r="A27" s="4">
        <v>26</v>
      </c>
      <c r="B27" s="6" t="s">
        <v>172</v>
      </c>
      <c r="C27" s="75">
        <v>41760</v>
      </c>
      <c r="D27" s="26"/>
      <c r="E27" s="26"/>
      <c r="F27" s="22"/>
      <c r="G27" s="22"/>
      <c r="H27" s="22"/>
      <c r="I27" s="22"/>
      <c r="J27" s="22"/>
      <c r="K27" s="22"/>
      <c r="L27" s="81">
        <f t="shared" si="0"/>
        <v>0</v>
      </c>
      <c r="M27" s="81">
        <f t="shared" si="1"/>
        <v>0</v>
      </c>
      <c r="N27" s="81">
        <f t="shared" si="3"/>
        <v>0</v>
      </c>
      <c r="O27" s="81"/>
      <c r="P27" s="81">
        <f t="shared" si="4"/>
        <v>0</v>
      </c>
      <c r="Q27" s="22"/>
    </row>
    <row r="28" spans="1:17" x14ac:dyDescent="0.25">
      <c r="A28" s="4">
        <v>27</v>
      </c>
      <c r="B28" s="6" t="s">
        <v>174</v>
      </c>
      <c r="C28" s="75">
        <v>41760</v>
      </c>
      <c r="D28" s="26">
        <v>44852</v>
      </c>
      <c r="E28" s="26">
        <v>44862</v>
      </c>
      <c r="F28" s="22"/>
      <c r="G28" s="22"/>
      <c r="H28" s="22"/>
      <c r="I28" s="22"/>
      <c r="J28" s="22"/>
      <c r="K28" s="22"/>
      <c r="L28" s="81">
        <f t="shared" si="0"/>
        <v>10</v>
      </c>
      <c r="M28" s="81">
        <f t="shared" si="1"/>
        <v>0</v>
      </c>
      <c r="N28" s="81">
        <f t="shared" si="3"/>
        <v>0</v>
      </c>
      <c r="O28" s="81"/>
      <c r="P28" s="81">
        <f t="shared" si="4"/>
        <v>10</v>
      </c>
      <c r="Q28" s="22"/>
    </row>
    <row r="29" spans="1:17" x14ac:dyDescent="0.25">
      <c r="A29" s="4">
        <v>28</v>
      </c>
      <c r="B29" s="6" t="s">
        <v>42</v>
      </c>
      <c r="C29" s="75">
        <v>40878</v>
      </c>
      <c r="D29" s="26">
        <v>44804</v>
      </c>
      <c r="E29" s="26">
        <v>44865</v>
      </c>
      <c r="F29" s="22"/>
      <c r="G29" s="22"/>
      <c r="H29" s="22"/>
      <c r="I29" s="22"/>
      <c r="J29" s="22"/>
      <c r="K29" s="22"/>
      <c r="L29" s="81">
        <f t="shared" si="0"/>
        <v>61</v>
      </c>
      <c r="M29" s="81">
        <f t="shared" si="1"/>
        <v>0</v>
      </c>
      <c r="N29" s="81">
        <f t="shared" si="3"/>
        <v>0</v>
      </c>
      <c r="O29" s="81"/>
      <c r="P29" s="81">
        <f t="shared" si="4"/>
        <v>61</v>
      </c>
      <c r="Q29" s="22"/>
    </row>
    <row r="30" spans="1:17" x14ac:dyDescent="0.25">
      <c r="A30" s="4">
        <v>29</v>
      </c>
      <c r="B30" s="6" t="s">
        <v>221</v>
      </c>
      <c r="C30" s="75">
        <v>42430</v>
      </c>
      <c r="D30" s="26">
        <v>44834</v>
      </c>
      <c r="E30" s="26">
        <v>44851</v>
      </c>
      <c r="F30" s="22"/>
      <c r="G30" s="22"/>
      <c r="H30" s="22"/>
      <c r="I30" s="22"/>
      <c r="J30" s="22"/>
      <c r="K30" s="22"/>
      <c r="L30" s="81">
        <f t="shared" si="0"/>
        <v>17</v>
      </c>
      <c r="M30" s="81">
        <f t="shared" si="1"/>
        <v>0</v>
      </c>
      <c r="N30" s="81">
        <f t="shared" si="3"/>
        <v>0</v>
      </c>
      <c r="O30" s="81"/>
      <c r="P30" s="81">
        <f t="shared" si="4"/>
        <v>17</v>
      </c>
      <c r="Q30" s="22"/>
    </row>
    <row r="31" spans="1:17" x14ac:dyDescent="0.25">
      <c r="A31" s="4">
        <v>30</v>
      </c>
      <c r="B31" s="6" t="s">
        <v>222</v>
      </c>
      <c r="C31" s="75">
        <v>42522</v>
      </c>
      <c r="D31" s="26"/>
      <c r="E31" s="26"/>
      <c r="F31" s="22"/>
      <c r="G31" s="22"/>
      <c r="H31" s="22"/>
      <c r="I31" s="22"/>
      <c r="J31" s="22"/>
      <c r="K31" s="22"/>
      <c r="L31" s="81">
        <f t="shared" si="0"/>
        <v>0</v>
      </c>
      <c r="M31" s="81">
        <f t="shared" si="1"/>
        <v>0</v>
      </c>
      <c r="N31" s="81">
        <f t="shared" si="3"/>
        <v>0</v>
      </c>
      <c r="O31" s="81"/>
      <c r="P31" s="81">
        <f t="shared" si="4"/>
        <v>0</v>
      </c>
      <c r="Q31" s="22"/>
    </row>
    <row r="32" spans="1:17" x14ac:dyDescent="0.25">
      <c r="A32" s="4">
        <v>31</v>
      </c>
      <c r="B32" s="6" t="s">
        <v>238</v>
      </c>
      <c r="C32" s="75">
        <v>42614</v>
      </c>
      <c r="D32" s="26">
        <v>44674</v>
      </c>
      <c r="E32" s="26">
        <v>44756</v>
      </c>
      <c r="F32" s="22"/>
      <c r="G32" s="22"/>
      <c r="H32" s="22"/>
      <c r="I32" s="22"/>
      <c r="J32" s="22"/>
      <c r="K32" s="22"/>
      <c r="L32" s="81">
        <f t="shared" si="0"/>
        <v>82</v>
      </c>
      <c r="M32" s="81">
        <f t="shared" si="1"/>
        <v>0</v>
      </c>
      <c r="N32" s="81">
        <f t="shared" si="3"/>
        <v>0</v>
      </c>
      <c r="O32" s="81"/>
      <c r="P32" s="81">
        <f t="shared" si="4"/>
        <v>82</v>
      </c>
      <c r="Q32" s="22"/>
    </row>
    <row r="33" spans="1:17" x14ac:dyDescent="0.25">
      <c r="A33" s="4">
        <v>32</v>
      </c>
      <c r="B33" s="6" t="s">
        <v>227</v>
      </c>
      <c r="C33" s="75">
        <v>42644</v>
      </c>
      <c r="D33" s="26">
        <v>44895</v>
      </c>
      <c r="E33" s="26">
        <v>44926</v>
      </c>
      <c r="F33" s="26"/>
      <c r="G33" s="26"/>
      <c r="H33" s="22"/>
      <c r="I33" s="22"/>
      <c r="J33" s="22"/>
      <c r="K33" s="22"/>
      <c r="L33" s="81">
        <f t="shared" si="0"/>
        <v>31</v>
      </c>
      <c r="M33" s="81">
        <f t="shared" si="1"/>
        <v>0</v>
      </c>
      <c r="N33" s="81">
        <f t="shared" si="3"/>
        <v>0</v>
      </c>
      <c r="O33" s="81"/>
      <c r="P33" s="81">
        <f t="shared" si="4"/>
        <v>31</v>
      </c>
      <c r="Q33" s="22"/>
    </row>
    <row r="34" spans="1:17" x14ac:dyDescent="0.25">
      <c r="A34" s="4">
        <v>33</v>
      </c>
      <c r="B34" s="6" t="s">
        <v>229</v>
      </c>
      <c r="C34" s="75">
        <v>42675</v>
      </c>
      <c r="D34" s="26"/>
      <c r="E34" s="26"/>
      <c r="F34" s="22"/>
      <c r="G34" s="22"/>
      <c r="H34" s="22"/>
      <c r="I34" s="22"/>
      <c r="J34" s="22"/>
      <c r="K34" s="22"/>
      <c r="L34" s="81">
        <f t="shared" ref="L34:L65" si="5">E34-D34</f>
        <v>0</v>
      </c>
      <c r="M34" s="81">
        <f t="shared" ref="M34:M65" si="6">G34-F34</f>
        <v>0</v>
      </c>
      <c r="N34" s="81">
        <f t="shared" si="3"/>
        <v>0</v>
      </c>
      <c r="O34" s="81"/>
      <c r="P34" s="81">
        <f t="shared" si="4"/>
        <v>0</v>
      </c>
      <c r="Q34" s="22"/>
    </row>
    <row r="35" spans="1:17" x14ac:dyDescent="0.25">
      <c r="A35" s="4">
        <v>34</v>
      </c>
      <c r="B35" s="6" t="s">
        <v>235</v>
      </c>
      <c r="C35" s="75">
        <v>42856</v>
      </c>
      <c r="D35" s="26">
        <v>44562</v>
      </c>
      <c r="E35" s="26">
        <v>44568</v>
      </c>
      <c r="F35" s="26">
        <v>44665</v>
      </c>
      <c r="G35" s="26">
        <v>44749</v>
      </c>
      <c r="H35" s="22"/>
      <c r="I35" s="22"/>
      <c r="J35" s="22"/>
      <c r="K35" s="22"/>
      <c r="L35" s="81">
        <f t="shared" si="5"/>
        <v>6</v>
      </c>
      <c r="M35" s="81">
        <f t="shared" si="6"/>
        <v>84</v>
      </c>
      <c r="N35" s="81">
        <f t="shared" si="3"/>
        <v>0</v>
      </c>
      <c r="O35" s="81"/>
      <c r="P35" s="81">
        <f t="shared" si="4"/>
        <v>90</v>
      </c>
      <c r="Q35" s="22"/>
    </row>
    <row r="36" spans="1:17" x14ac:dyDescent="0.25">
      <c r="A36" s="4">
        <v>35</v>
      </c>
      <c r="B36" s="6" t="s">
        <v>241</v>
      </c>
      <c r="C36" s="75">
        <v>42948</v>
      </c>
      <c r="D36" s="26">
        <v>44656</v>
      </c>
      <c r="E36" s="26">
        <v>44686</v>
      </c>
      <c r="F36" s="22"/>
      <c r="G36" s="22"/>
      <c r="H36" s="22"/>
      <c r="I36" s="22"/>
      <c r="J36" s="22"/>
      <c r="K36" s="22"/>
      <c r="L36" s="81">
        <f t="shared" si="5"/>
        <v>30</v>
      </c>
      <c r="M36" s="81">
        <f t="shared" si="6"/>
        <v>0</v>
      </c>
      <c r="N36" s="81">
        <f t="shared" si="3"/>
        <v>0</v>
      </c>
      <c r="O36" s="81"/>
      <c r="P36" s="81">
        <f t="shared" si="4"/>
        <v>30</v>
      </c>
      <c r="Q36" s="22"/>
    </row>
    <row r="37" spans="1:17" x14ac:dyDescent="0.25">
      <c r="A37" s="4">
        <v>36</v>
      </c>
      <c r="B37" s="6" t="s">
        <v>242</v>
      </c>
      <c r="C37" s="75">
        <v>42948</v>
      </c>
      <c r="D37" s="26">
        <v>44893</v>
      </c>
      <c r="E37" s="26">
        <v>44926</v>
      </c>
      <c r="F37" s="22"/>
      <c r="G37" s="22"/>
      <c r="H37" s="22"/>
      <c r="I37" s="22"/>
      <c r="J37" s="22"/>
      <c r="K37" s="22"/>
      <c r="L37" s="81">
        <f t="shared" si="5"/>
        <v>33</v>
      </c>
      <c r="M37" s="81">
        <f t="shared" si="6"/>
        <v>0</v>
      </c>
      <c r="N37" s="81">
        <f t="shared" si="3"/>
        <v>0</v>
      </c>
      <c r="O37" s="81"/>
      <c r="P37" s="81">
        <f t="shared" si="4"/>
        <v>33</v>
      </c>
      <c r="Q37" s="22"/>
    </row>
    <row r="38" spans="1:17" x14ac:dyDescent="0.25">
      <c r="A38" s="4">
        <v>37</v>
      </c>
      <c r="B38" s="6" t="s">
        <v>244</v>
      </c>
      <c r="C38" s="75">
        <v>42979</v>
      </c>
      <c r="D38" s="26">
        <v>44597</v>
      </c>
      <c r="E38" s="26">
        <v>44660</v>
      </c>
      <c r="F38" s="22"/>
      <c r="G38" s="22"/>
      <c r="H38" s="22"/>
      <c r="I38" s="22"/>
      <c r="J38" s="22"/>
      <c r="K38" s="22"/>
      <c r="L38" s="81">
        <f t="shared" si="5"/>
        <v>63</v>
      </c>
      <c r="M38" s="81">
        <f t="shared" si="6"/>
        <v>0</v>
      </c>
      <c r="N38" s="81">
        <f t="shared" si="3"/>
        <v>0</v>
      </c>
      <c r="O38" s="81"/>
      <c r="P38" s="81">
        <f t="shared" si="4"/>
        <v>63</v>
      </c>
      <c r="Q38" s="22"/>
    </row>
    <row r="39" spans="1:17" x14ac:dyDescent="0.25">
      <c r="A39" s="4">
        <v>38</v>
      </c>
      <c r="B39" s="6" t="s">
        <v>250</v>
      </c>
      <c r="C39" s="75">
        <v>43101</v>
      </c>
      <c r="D39" s="26">
        <v>44865</v>
      </c>
      <c r="E39" s="26">
        <v>44911</v>
      </c>
      <c r="F39" s="22"/>
      <c r="G39" s="22"/>
      <c r="H39" s="22"/>
      <c r="I39" s="22"/>
      <c r="J39" s="22"/>
      <c r="K39" s="22"/>
      <c r="L39" s="81">
        <f t="shared" si="5"/>
        <v>46</v>
      </c>
      <c r="M39" s="81">
        <f t="shared" si="6"/>
        <v>0</v>
      </c>
      <c r="N39" s="81">
        <f t="shared" si="3"/>
        <v>0</v>
      </c>
      <c r="O39" s="81"/>
      <c r="P39" s="81">
        <f t="shared" si="4"/>
        <v>46</v>
      </c>
      <c r="Q39" s="22"/>
    </row>
    <row r="40" spans="1:17" x14ac:dyDescent="0.25">
      <c r="A40" s="4">
        <v>39</v>
      </c>
      <c r="B40" s="6" t="s">
        <v>251</v>
      </c>
      <c r="C40" s="75">
        <v>43101</v>
      </c>
      <c r="D40" s="26">
        <v>44682</v>
      </c>
      <c r="E40" s="26">
        <v>44716</v>
      </c>
      <c r="F40" s="26">
        <v>44768</v>
      </c>
      <c r="G40" s="26">
        <v>44811</v>
      </c>
      <c r="H40" s="22"/>
      <c r="I40" s="22"/>
      <c r="J40" s="22"/>
      <c r="K40" s="22"/>
      <c r="L40" s="81">
        <f t="shared" si="5"/>
        <v>34</v>
      </c>
      <c r="M40" s="81">
        <f t="shared" si="6"/>
        <v>43</v>
      </c>
      <c r="N40" s="81">
        <f t="shared" si="3"/>
        <v>0</v>
      </c>
      <c r="O40" s="81"/>
      <c r="P40" s="81">
        <f t="shared" si="4"/>
        <v>77</v>
      </c>
      <c r="Q40" s="22"/>
    </row>
    <row r="41" spans="1:17" x14ac:dyDescent="0.25">
      <c r="A41" s="4">
        <v>40</v>
      </c>
      <c r="B41" s="6" t="s">
        <v>347</v>
      </c>
      <c r="C41" s="75">
        <v>43132</v>
      </c>
      <c r="D41" s="26">
        <v>44783</v>
      </c>
      <c r="E41" s="26">
        <v>44847</v>
      </c>
      <c r="F41" s="22"/>
      <c r="G41" s="22"/>
      <c r="H41" s="22"/>
      <c r="I41" s="22"/>
      <c r="J41" s="22"/>
      <c r="K41" s="22"/>
      <c r="L41" s="81">
        <f t="shared" si="5"/>
        <v>64</v>
      </c>
      <c r="M41" s="81">
        <f t="shared" si="6"/>
        <v>0</v>
      </c>
      <c r="N41" s="81">
        <f t="shared" si="3"/>
        <v>0</v>
      </c>
      <c r="O41" s="81"/>
      <c r="P41" s="81">
        <f t="shared" si="4"/>
        <v>64</v>
      </c>
      <c r="Q41" s="22"/>
    </row>
    <row r="42" spans="1:17" x14ac:dyDescent="0.25">
      <c r="A42" s="4">
        <v>41</v>
      </c>
      <c r="B42" s="6" t="s">
        <v>254</v>
      </c>
      <c r="C42" s="75">
        <v>43191</v>
      </c>
      <c r="D42" s="26"/>
      <c r="E42" s="26"/>
      <c r="F42" s="22"/>
      <c r="G42" s="22"/>
      <c r="H42" s="22"/>
      <c r="I42" s="22"/>
      <c r="J42" s="22"/>
      <c r="K42" s="22"/>
      <c r="L42" s="81">
        <f t="shared" si="5"/>
        <v>0</v>
      </c>
      <c r="M42" s="81">
        <f t="shared" si="6"/>
        <v>0</v>
      </c>
      <c r="N42" s="81">
        <f t="shared" si="3"/>
        <v>0</v>
      </c>
      <c r="O42" s="81"/>
      <c r="P42" s="81">
        <f t="shared" si="4"/>
        <v>0</v>
      </c>
      <c r="Q42" s="22"/>
    </row>
    <row r="43" spans="1:17" x14ac:dyDescent="0.25">
      <c r="A43" s="4">
        <v>42</v>
      </c>
      <c r="B43" s="22" t="s">
        <v>257</v>
      </c>
      <c r="C43" s="75">
        <v>43282</v>
      </c>
      <c r="D43" s="26">
        <v>44756</v>
      </c>
      <c r="E43" s="26">
        <v>44831</v>
      </c>
      <c r="F43" s="22"/>
      <c r="G43" s="22"/>
      <c r="H43" s="22"/>
      <c r="I43" s="22"/>
      <c r="J43" s="22"/>
      <c r="K43" s="22"/>
      <c r="L43" s="81">
        <f t="shared" si="5"/>
        <v>75</v>
      </c>
      <c r="M43" s="81">
        <f t="shared" si="6"/>
        <v>0</v>
      </c>
      <c r="N43" s="81">
        <f t="shared" si="3"/>
        <v>0</v>
      </c>
      <c r="O43" s="81"/>
      <c r="P43" s="81">
        <f t="shared" si="4"/>
        <v>75</v>
      </c>
      <c r="Q43" s="22"/>
    </row>
    <row r="44" spans="1:17" x14ac:dyDescent="0.25">
      <c r="A44" s="4">
        <v>43</v>
      </c>
      <c r="B44" s="22" t="s">
        <v>258</v>
      </c>
      <c r="C44" s="75">
        <v>43282</v>
      </c>
      <c r="D44" s="26">
        <v>44834</v>
      </c>
      <c r="E44" s="26">
        <v>44879</v>
      </c>
      <c r="F44" s="22"/>
      <c r="G44" s="22"/>
      <c r="H44" s="22"/>
      <c r="I44" s="22"/>
      <c r="J44" s="22"/>
      <c r="K44" s="22"/>
      <c r="L44" s="81">
        <f t="shared" si="5"/>
        <v>45</v>
      </c>
      <c r="M44" s="81">
        <f t="shared" si="6"/>
        <v>0</v>
      </c>
      <c r="N44" s="81">
        <f t="shared" si="3"/>
        <v>0</v>
      </c>
      <c r="O44" s="81"/>
      <c r="P44" s="81">
        <f t="shared" si="4"/>
        <v>45</v>
      </c>
      <c r="Q44" s="22"/>
    </row>
    <row r="45" spans="1:17" x14ac:dyDescent="0.25">
      <c r="A45" s="4">
        <v>44</v>
      </c>
      <c r="B45" s="22" t="s">
        <v>261</v>
      </c>
      <c r="C45" s="75">
        <v>43466</v>
      </c>
      <c r="D45" s="26">
        <v>44562</v>
      </c>
      <c r="E45" s="26">
        <v>44595</v>
      </c>
      <c r="F45" s="22"/>
      <c r="G45" s="22"/>
      <c r="H45" s="22"/>
      <c r="I45" s="22"/>
      <c r="J45" s="22"/>
      <c r="K45" s="22"/>
      <c r="L45" s="81">
        <f t="shared" si="5"/>
        <v>33</v>
      </c>
      <c r="M45" s="81">
        <f t="shared" si="6"/>
        <v>0</v>
      </c>
      <c r="N45" s="81">
        <f t="shared" si="3"/>
        <v>0</v>
      </c>
      <c r="O45" s="81"/>
      <c r="P45" s="81">
        <f t="shared" si="4"/>
        <v>33</v>
      </c>
      <c r="Q45" s="22"/>
    </row>
    <row r="46" spans="1:17" x14ac:dyDescent="0.25">
      <c r="A46" s="4">
        <v>45</v>
      </c>
      <c r="B46" s="59" t="s">
        <v>281</v>
      </c>
      <c r="C46" s="75">
        <v>43497</v>
      </c>
      <c r="D46" s="26"/>
      <c r="E46" s="26"/>
      <c r="F46" s="22"/>
      <c r="G46" s="22"/>
      <c r="H46" s="22"/>
      <c r="I46" s="22"/>
      <c r="J46" s="22"/>
      <c r="K46" s="22"/>
      <c r="L46" s="81">
        <f t="shared" si="5"/>
        <v>0</v>
      </c>
      <c r="M46" s="81">
        <f t="shared" si="6"/>
        <v>0</v>
      </c>
      <c r="N46" s="81">
        <f t="shared" si="3"/>
        <v>0</v>
      </c>
      <c r="O46" s="81"/>
      <c r="P46" s="81">
        <f t="shared" si="4"/>
        <v>0</v>
      </c>
      <c r="Q46" s="22"/>
    </row>
    <row r="47" spans="1:17" x14ac:dyDescent="0.25">
      <c r="A47" s="4">
        <v>46</v>
      </c>
      <c r="B47" s="56" t="s">
        <v>262</v>
      </c>
      <c r="C47" s="75">
        <v>43556</v>
      </c>
      <c r="D47" s="26"/>
      <c r="E47" s="26"/>
      <c r="F47" s="22"/>
      <c r="G47" s="22"/>
      <c r="H47" s="22"/>
      <c r="I47" s="22"/>
      <c r="J47" s="22"/>
      <c r="K47" s="22"/>
      <c r="L47" s="81">
        <f t="shared" si="5"/>
        <v>0</v>
      </c>
      <c r="M47" s="81">
        <f t="shared" si="6"/>
        <v>0</v>
      </c>
      <c r="N47" s="81">
        <f t="shared" si="3"/>
        <v>0</v>
      </c>
      <c r="O47" s="81"/>
      <c r="P47" s="81">
        <f t="shared" ref="P47:P65" si="7">L47+M47+N47</f>
        <v>0</v>
      </c>
      <c r="Q47" s="22"/>
    </row>
    <row r="48" spans="1:17" x14ac:dyDescent="0.25">
      <c r="A48" s="4">
        <v>47</v>
      </c>
      <c r="B48" s="98" t="s">
        <v>269</v>
      </c>
      <c r="C48" s="75">
        <v>43647</v>
      </c>
      <c r="D48" s="26">
        <v>44678</v>
      </c>
      <c r="E48" s="26">
        <v>44739</v>
      </c>
      <c r="F48" s="22"/>
      <c r="G48" s="22"/>
      <c r="H48" s="22"/>
      <c r="I48" s="22"/>
      <c r="J48" s="22"/>
      <c r="K48" s="22"/>
      <c r="L48" s="81">
        <f t="shared" si="5"/>
        <v>61</v>
      </c>
      <c r="M48" s="81">
        <f t="shared" si="6"/>
        <v>0</v>
      </c>
      <c r="N48" s="81">
        <f t="shared" si="3"/>
        <v>0</v>
      </c>
      <c r="O48" s="81"/>
      <c r="P48" s="81">
        <f t="shared" si="7"/>
        <v>61</v>
      </c>
      <c r="Q48" s="22"/>
    </row>
    <row r="49" spans="1:17" x14ac:dyDescent="0.25">
      <c r="A49" s="4">
        <v>48</v>
      </c>
      <c r="B49" s="58" t="s">
        <v>633</v>
      </c>
      <c r="C49" s="75">
        <v>43647</v>
      </c>
      <c r="D49" s="26"/>
      <c r="E49" s="26"/>
      <c r="F49" s="22"/>
      <c r="G49" s="22"/>
      <c r="H49" s="22"/>
      <c r="I49" s="22"/>
      <c r="J49" s="22"/>
      <c r="K49" s="22"/>
      <c r="L49" s="81">
        <f t="shared" si="5"/>
        <v>0</v>
      </c>
      <c r="M49" s="81">
        <f t="shared" si="6"/>
        <v>0</v>
      </c>
      <c r="N49" s="81">
        <f t="shared" si="3"/>
        <v>0</v>
      </c>
      <c r="O49" s="81"/>
      <c r="P49" s="81">
        <f t="shared" si="7"/>
        <v>0</v>
      </c>
      <c r="Q49" s="22"/>
    </row>
    <row r="50" spans="1:17" x14ac:dyDescent="0.25">
      <c r="A50" s="4">
        <v>49</v>
      </c>
      <c r="B50" s="98" t="s">
        <v>272</v>
      </c>
      <c r="C50" s="75">
        <v>43647</v>
      </c>
      <c r="D50" s="26">
        <v>44713</v>
      </c>
      <c r="E50" s="26">
        <v>44783</v>
      </c>
      <c r="F50" s="22"/>
      <c r="G50" s="22"/>
      <c r="H50" s="22"/>
      <c r="I50" s="22"/>
      <c r="J50" s="22"/>
      <c r="K50" s="22"/>
      <c r="L50" s="81">
        <f t="shared" si="5"/>
        <v>70</v>
      </c>
      <c r="M50" s="81">
        <f t="shared" si="6"/>
        <v>0</v>
      </c>
      <c r="N50" s="81">
        <f t="shared" si="3"/>
        <v>0</v>
      </c>
      <c r="O50" s="81"/>
      <c r="P50" s="81">
        <f t="shared" si="7"/>
        <v>70</v>
      </c>
      <c r="Q50" s="22"/>
    </row>
    <row r="51" spans="1:17" x14ac:dyDescent="0.25">
      <c r="A51" s="4">
        <v>50</v>
      </c>
      <c r="B51" s="56" t="s">
        <v>265</v>
      </c>
      <c r="C51" s="75">
        <v>43617</v>
      </c>
      <c r="D51" s="26">
        <v>44621</v>
      </c>
      <c r="E51" s="26">
        <v>44729</v>
      </c>
      <c r="F51" s="22"/>
      <c r="G51" s="22"/>
      <c r="H51" s="22"/>
      <c r="I51" s="22"/>
      <c r="J51" s="22"/>
      <c r="K51" s="22"/>
      <c r="L51" s="81">
        <f t="shared" si="5"/>
        <v>108</v>
      </c>
      <c r="M51" s="81">
        <f t="shared" si="6"/>
        <v>0</v>
      </c>
      <c r="N51" s="81">
        <f t="shared" si="3"/>
        <v>0</v>
      </c>
      <c r="O51" s="81"/>
      <c r="P51" s="81">
        <f t="shared" si="7"/>
        <v>108</v>
      </c>
      <c r="Q51" s="22"/>
    </row>
    <row r="52" spans="1:17" x14ac:dyDescent="0.25">
      <c r="A52" s="4">
        <v>51</v>
      </c>
      <c r="B52" s="58" t="s">
        <v>276</v>
      </c>
      <c r="C52" s="75">
        <v>43739</v>
      </c>
      <c r="D52" s="26">
        <v>44621</v>
      </c>
      <c r="E52" s="26">
        <v>44682</v>
      </c>
      <c r="F52" s="26">
        <v>44898</v>
      </c>
      <c r="G52" s="26">
        <v>44905</v>
      </c>
      <c r="H52" s="22"/>
      <c r="I52" s="22"/>
      <c r="J52" s="22"/>
      <c r="K52" s="22"/>
      <c r="L52" s="81">
        <f t="shared" si="5"/>
        <v>61</v>
      </c>
      <c r="M52" s="81">
        <f t="shared" si="6"/>
        <v>7</v>
      </c>
      <c r="N52" s="81">
        <f t="shared" si="3"/>
        <v>0</v>
      </c>
      <c r="O52" s="81"/>
      <c r="P52" s="81">
        <f t="shared" si="7"/>
        <v>68</v>
      </c>
      <c r="Q52" s="22"/>
    </row>
    <row r="53" spans="1:17" x14ac:dyDescent="0.25">
      <c r="A53" s="4">
        <v>52</v>
      </c>
      <c r="B53" s="58" t="s">
        <v>278</v>
      </c>
      <c r="C53" s="75">
        <v>43800</v>
      </c>
      <c r="D53" s="26">
        <v>44708</v>
      </c>
      <c r="E53" s="26">
        <v>44768</v>
      </c>
      <c r="F53" s="22"/>
      <c r="G53" s="22"/>
      <c r="H53" s="22"/>
      <c r="I53" s="22"/>
      <c r="J53" s="22"/>
      <c r="K53" s="22"/>
      <c r="L53" s="81">
        <f t="shared" si="5"/>
        <v>60</v>
      </c>
      <c r="M53" s="81">
        <f t="shared" si="6"/>
        <v>0</v>
      </c>
      <c r="N53" s="81">
        <f t="shared" si="3"/>
        <v>0</v>
      </c>
      <c r="O53" s="81"/>
      <c r="P53" s="81">
        <f t="shared" si="7"/>
        <v>60</v>
      </c>
      <c r="Q53" s="22"/>
    </row>
    <row r="54" spans="1:17" x14ac:dyDescent="0.25">
      <c r="A54" s="4">
        <v>53</v>
      </c>
      <c r="B54" s="61" t="s">
        <v>291</v>
      </c>
      <c r="C54" s="75">
        <v>44075</v>
      </c>
      <c r="D54" s="26">
        <v>44598</v>
      </c>
      <c r="E54" s="26">
        <v>44612</v>
      </c>
      <c r="F54" s="22"/>
      <c r="G54" s="22"/>
      <c r="H54" s="22"/>
      <c r="I54" s="22"/>
      <c r="J54" s="22"/>
      <c r="K54" s="22"/>
      <c r="L54" s="81">
        <f t="shared" si="5"/>
        <v>14</v>
      </c>
      <c r="M54" s="81">
        <f t="shared" si="6"/>
        <v>0</v>
      </c>
      <c r="N54" s="81">
        <f t="shared" si="3"/>
        <v>0</v>
      </c>
      <c r="O54" s="81"/>
      <c r="P54" s="81">
        <f t="shared" si="7"/>
        <v>14</v>
      </c>
      <c r="Q54" s="22"/>
    </row>
    <row r="55" spans="1:17" x14ac:dyDescent="0.25">
      <c r="A55" s="4">
        <v>54</v>
      </c>
      <c r="B55" s="61" t="s">
        <v>286</v>
      </c>
      <c r="C55" s="75">
        <v>44105</v>
      </c>
      <c r="D55" s="22"/>
      <c r="E55" s="22"/>
      <c r="F55" s="22"/>
      <c r="G55" s="22"/>
      <c r="H55" s="22"/>
      <c r="I55" s="22"/>
      <c r="J55" s="22"/>
      <c r="K55" s="22"/>
      <c r="L55" s="81">
        <f t="shared" si="5"/>
        <v>0</v>
      </c>
      <c r="M55" s="81">
        <f t="shared" si="6"/>
        <v>0</v>
      </c>
      <c r="N55" s="81">
        <f t="shared" si="3"/>
        <v>0</v>
      </c>
      <c r="O55" s="81"/>
      <c r="P55" s="81">
        <f t="shared" si="7"/>
        <v>0</v>
      </c>
      <c r="Q55" s="22"/>
    </row>
    <row r="56" spans="1:17" x14ac:dyDescent="0.25">
      <c r="A56" s="4">
        <v>55</v>
      </c>
      <c r="B56" s="61" t="s">
        <v>292</v>
      </c>
      <c r="C56" s="75">
        <v>44136</v>
      </c>
      <c r="D56" s="26">
        <v>44585</v>
      </c>
      <c r="E56" s="26">
        <v>44627</v>
      </c>
      <c r="F56" s="22"/>
      <c r="G56" s="22"/>
      <c r="H56" s="22"/>
      <c r="I56" s="22"/>
      <c r="J56" s="22"/>
      <c r="K56" s="22"/>
      <c r="L56" s="81">
        <f t="shared" si="5"/>
        <v>42</v>
      </c>
      <c r="M56" s="81">
        <f t="shared" si="6"/>
        <v>0</v>
      </c>
      <c r="N56" s="81">
        <f t="shared" si="3"/>
        <v>0</v>
      </c>
      <c r="O56" s="81"/>
      <c r="P56" s="81">
        <f t="shared" si="7"/>
        <v>42</v>
      </c>
      <c r="Q56" s="22"/>
    </row>
    <row r="57" spans="1:17" x14ac:dyDescent="0.25">
      <c r="A57" s="4">
        <v>56</v>
      </c>
      <c r="B57" s="61" t="s">
        <v>293</v>
      </c>
      <c r="C57" s="75">
        <v>44136</v>
      </c>
      <c r="D57" s="22"/>
      <c r="E57" s="22"/>
      <c r="F57" s="22"/>
      <c r="G57" s="22"/>
      <c r="H57" s="22"/>
      <c r="I57" s="22"/>
      <c r="J57" s="22"/>
      <c r="K57" s="22"/>
      <c r="L57" s="81">
        <f t="shared" si="5"/>
        <v>0</v>
      </c>
      <c r="M57" s="81">
        <f t="shared" si="6"/>
        <v>0</v>
      </c>
      <c r="N57" s="81">
        <f t="shared" si="3"/>
        <v>0</v>
      </c>
      <c r="O57" s="81"/>
      <c r="P57" s="81">
        <f t="shared" si="7"/>
        <v>0</v>
      </c>
      <c r="Q57" s="22"/>
    </row>
    <row r="58" spans="1:17" x14ac:dyDescent="0.25">
      <c r="A58" s="4">
        <v>57</v>
      </c>
      <c r="B58" s="61" t="s">
        <v>295</v>
      </c>
      <c r="C58" s="75">
        <v>44197</v>
      </c>
      <c r="D58" s="26">
        <v>44597</v>
      </c>
      <c r="E58" s="26">
        <v>44628</v>
      </c>
      <c r="F58" s="26">
        <v>44760</v>
      </c>
      <c r="G58" s="26">
        <v>44789</v>
      </c>
      <c r="H58" s="22"/>
      <c r="I58" s="22"/>
      <c r="J58" s="22"/>
      <c r="K58" s="22"/>
      <c r="L58" s="81">
        <f t="shared" si="5"/>
        <v>31</v>
      </c>
      <c r="M58" s="81">
        <f t="shared" si="6"/>
        <v>29</v>
      </c>
      <c r="N58" s="81">
        <f t="shared" si="3"/>
        <v>0</v>
      </c>
      <c r="O58" s="81"/>
      <c r="P58" s="81">
        <f t="shared" si="7"/>
        <v>60</v>
      </c>
      <c r="Q58" s="22"/>
    </row>
    <row r="59" spans="1:17" x14ac:dyDescent="0.25">
      <c r="A59" s="4">
        <v>58</v>
      </c>
      <c r="B59" s="61" t="s">
        <v>296</v>
      </c>
      <c r="C59" s="75">
        <v>44210</v>
      </c>
      <c r="D59" s="22"/>
      <c r="E59" s="22"/>
      <c r="F59" s="22"/>
      <c r="G59" s="22"/>
      <c r="H59" s="22"/>
      <c r="I59" s="22"/>
      <c r="J59" s="22"/>
      <c r="K59" s="22"/>
      <c r="L59" s="81">
        <f t="shared" si="5"/>
        <v>0</v>
      </c>
      <c r="M59" s="81">
        <f t="shared" si="6"/>
        <v>0</v>
      </c>
      <c r="N59" s="81">
        <f t="shared" si="3"/>
        <v>0</v>
      </c>
      <c r="O59" s="81"/>
      <c r="P59" s="81">
        <f t="shared" si="7"/>
        <v>0</v>
      </c>
      <c r="Q59" s="22"/>
    </row>
    <row r="60" spans="1:17" x14ac:dyDescent="0.25">
      <c r="A60" s="4">
        <v>59</v>
      </c>
      <c r="B60" s="63" t="s">
        <v>170</v>
      </c>
      <c r="C60" s="75">
        <v>44197</v>
      </c>
      <c r="D60" s="26">
        <v>44656</v>
      </c>
      <c r="E60" s="26">
        <v>44691</v>
      </c>
      <c r="F60" s="22"/>
      <c r="G60" s="22"/>
      <c r="H60" s="22"/>
      <c r="I60" s="22"/>
      <c r="J60" s="22"/>
      <c r="K60" s="22"/>
      <c r="L60" s="81">
        <f t="shared" si="5"/>
        <v>35</v>
      </c>
      <c r="M60" s="81">
        <f t="shared" si="6"/>
        <v>0</v>
      </c>
      <c r="N60" s="81">
        <f t="shared" si="3"/>
        <v>0</v>
      </c>
      <c r="O60" s="81"/>
      <c r="P60" s="81">
        <f t="shared" si="7"/>
        <v>35</v>
      </c>
      <c r="Q60" s="22"/>
    </row>
    <row r="61" spans="1:17" x14ac:dyDescent="0.25">
      <c r="A61" s="4">
        <v>60</v>
      </c>
      <c r="B61" s="61" t="s">
        <v>297</v>
      </c>
      <c r="C61" s="75">
        <v>44197</v>
      </c>
      <c r="D61" s="26">
        <v>44682</v>
      </c>
      <c r="E61" s="26">
        <v>44707</v>
      </c>
      <c r="F61" s="22"/>
      <c r="G61" s="22"/>
      <c r="H61" s="22"/>
      <c r="I61" s="22"/>
      <c r="J61" s="22"/>
      <c r="K61" s="22"/>
      <c r="L61" s="81">
        <f t="shared" si="5"/>
        <v>25</v>
      </c>
      <c r="M61" s="81">
        <f t="shared" si="6"/>
        <v>0</v>
      </c>
      <c r="N61" s="81">
        <f t="shared" si="3"/>
        <v>0</v>
      </c>
      <c r="O61" s="81"/>
      <c r="P61" s="81">
        <f t="shared" si="7"/>
        <v>25</v>
      </c>
      <c r="Q61" s="22"/>
    </row>
    <row r="62" spans="1:17" x14ac:dyDescent="0.25">
      <c r="A62" s="4">
        <v>61</v>
      </c>
      <c r="B62" s="59" t="s">
        <v>299</v>
      </c>
      <c r="C62" s="75">
        <v>44197</v>
      </c>
      <c r="D62" s="22"/>
      <c r="E62" s="22"/>
      <c r="F62" s="22"/>
      <c r="G62" s="22"/>
      <c r="H62" s="22"/>
      <c r="I62" s="22"/>
      <c r="J62" s="22"/>
      <c r="K62" s="22"/>
      <c r="L62" s="81">
        <f t="shared" si="5"/>
        <v>0</v>
      </c>
      <c r="M62" s="81">
        <f t="shared" si="6"/>
        <v>0</v>
      </c>
      <c r="N62" s="81">
        <f t="shared" si="3"/>
        <v>0</v>
      </c>
      <c r="O62" s="81"/>
      <c r="P62" s="81">
        <f t="shared" si="7"/>
        <v>0</v>
      </c>
      <c r="Q62" s="22"/>
    </row>
    <row r="63" spans="1:17" x14ac:dyDescent="0.25">
      <c r="A63" s="4">
        <v>62</v>
      </c>
      <c r="B63" s="59" t="s">
        <v>300</v>
      </c>
      <c r="C63" s="75">
        <v>44197</v>
      </c>
      <c r="D63" s="22"/>
      <c r="E63" s="22"/>
      <c r="F63" s="22"/>
      <c r="G63" s="22"/>
      <c r="H63" s="22"/>
      <c r="I63" s="22"/>
      <c r="J63" s="22"/>
      <c r="K63" s="22"/>
      <c r="L63" s="81">
        <f t="shared" si="5"/>
        <v>0</v>
      </c>
      <c r="M63" s="81">
        <f t="shared" si="6"/>
        <v>0</v>
      </c>
      <c r="N63" s="81">
        <f t="shared" si="3"/>
        <v>0</v>
      </c>
      <c r="O63" s="81"/>
      <c r="P63" s="81">
        <f t="shared" si="7"/>
        <v>0</v>
      </c>
      <c r="Q63" s="22"/>
    </row>
    <row r="64" spans="1:17" x14ac:dyDescent="0.25">
      <c r="A64" s="4">
        <v>64</v>
      </c>
      <c r="B64" s="61" t="s">
        <v>302</v>
      </c>
      <c r="C64" s="75">
        <v>44256</v>
      </c>
      <c r="D64" s="26">
        <v>44772</v>
      </c>
      <c r="E64" s="26">
        <v>44806</v>
      </c>
      <c r="F64" s="22"/>
      <c r="G64" s="22"/>
      <c r="H64" s="22"/>
      <c r="I64" s="22"/>
      <c r="J64" s="22"/>
      <c r="K64" s="22"/>
      <c r="L64" s="81">
        <f t="shared" si="5"/>
        <v>34</v>
      </c>
      <c r="M64" s="81">
        <f t="shared" si="6"/>
        <v>0</v>
      </c>
      <c r="N64" s="81">
        <f t="shared" si="3"/>
        <v>0</v>
      </c>
      <c r="O64" s="81"/>
      <c r="P64" s="81">
        <f t="shared" si="7"/>
        <v>34</v>
      </c>
      <c r="Q64" s="22"/>
    </row>
    <row r="65" spans="1:17" x14ac:dyDescent="0.25">
      <c r="A65" s="4">
        <v>65</v>
      </c>
      <c r="B65" s="61" t="s">
        <v>303</v>
      </c>
      <c r="C65" s="75">
        <v>44256</v>
      </c>
      <c r="D65" s="22"/>
      <c r="E65" s="22"/>
      <c r="F65" s="22"/>
      <c r="G65" s="22"/>
      <c r="H65" s="22"/>
      <c r="I65" s="22"/>
      <c r="J65" s="22"/>
      <c r="K65" s="22"/>
      <c r="L65" s="81">
        <f t="shared" si="5"/>
        <v>0</v>
      </c>
      <c r="M65" s="81">
        <f t="shared" si="6"/>
        <v>0</v>
      </c>
      <c r="N65" s="81">
        <f t="shared" ref="N65:N88" si="8">I65-H65</f>
        <v>0</v>
      </c>
      <c r="O65" s="81"/>
      <c r="P65" s="81">
        <f t="shared" si="7"/>
        <v>0</v>
      </c>
      <c r="Q65" s="22"/>
    </row>
    <row r="66" spans="1:17" x14ac:dyDescent="0.25">
      <c r="A66" s="4">
        <v>66</v>
      </c>
      <c r="B66" s="59" t="s">
        <v>304</v>
      </c>
      <c r="C66" s="75">
        <v>44256</v>
      </c>
      <c r="D66" s="22"/>
      <c r="E66" s="22"/>
      <c r="F66" s="22"/>
      <c r="G66" s="22"/>
      <c r="H66" s="22"/>
      <c r="I66" s="22"/>
      <c r="J66" s="22"/>
      <c r="K66" s="22"/>
      <c r="L66" s="81">
        <f t="shared" ref="L66:L97" si="9">E66-D66</f>
        <v>0</v>
      </c>
      <c r="M66" s="81">
        <f t="shared" ref="M66:M97" si="10">G66-F66</f>
        <v>0</v>
      </c>
      <c r="N66" s="81">
        <f t="shared" si="8"/>
        <v>0</v>
      </c>
      <c r="O66" s="81"/>
      <c r="P66" s="81">
        <f t="shared" ref="P66:P88" si="11">L66+M66+N66</f>
        <v>0</v>
      </c>
      <c r="Q66" s="22"/>
    </row>
    <row r="67" spans="1:17" x14ac:dyDescent="0.25">
      <c r="A67" s="4">
        <v>67</v>
      </c>
      <c r="B67" s="59" t="s">
        <v>305</v>
      </c>
      <c r="C67" s="75">
        <v>44287</v>
      </c>
      <c r="D67" s="26">
        <v>44775</v>
      </c>
      <c r="E67" s="26">
        <v>44790</v>
      </c>
      <c r="F67" s="22"/>
      <c r="G67" s="22"/>
      <c r="H67" s="22"/>
      <c r="I67" s="22"/>
      <c r="J67" s="22"/>
      <c r="K67" s="22"/>
      <c r="L67" s="81">
        <f t="shared" si="9"/>
        <v>15</v>
      </c>
      <c r="M67" s="81">
        <f t="shared" si="10"/>
        <v>0</v>
      </c>
      <c r="N67" s="81">
        <f t="shared" si="8"/>
        <v>0</v>
      </c>
      <c r="O67" s="81"/>
      <c r="P67" s="81">
        <f t="shared" si="11"/>
        <v>15</v>
      </c>
      <c r="Q67" s="22"/>
    </row>
    <row r="68" spans="1:17" x14ac:dyDescent="0.25">
      <c r="A68" s="4">
        <v>68</v>
      </c>
      <c r="B68" s="59" t="s">
        <v>306</v>
      </c>
      <c r="C68" s="75">
        <v>44287</v>
      </c>
      <c r="D68" s="22"/>
      <c r="E68" s="22"/>
      <c r="F68" s="22"/>
      <c r="G68" s="22"/>
      <c r="H68" s="22"/>
      <c r="I68" s="22"/>
      <c r="J68" s="22"/>
      <c r="K68" s="22"/>
      <c r="L68" s="81">
        <f t="shared" si="9"/>
        <v>0</v>
      </c>
      <c r="M68" s="81">
        <f t="shared" si="10"/>
        <v>0</v>
      </c>
      <c r="N68" s="81">
        <f t="shared" si="8"/>
        <v>0</v>
      </c>
      <c r="O68" s="81"/>
      <c r="P68" s="81">
        <f t="shared" si="11"/>
        <v>0</v>
      </c>
      <c r="Q68" s="22"/>
    </row>
    <row r="69" spans="1:17" x14ac:dyDescent="0.25">
      <c r="A69" s="4">
        <v>69</v>
      </c>
      <c r="B69" s="59" t="s">
        <v>307</v>
      </c>
      <c r="C69" s="75">
        <v>44287</v>
      </c>
      <c r="D69" s="26">
        <v>44652</v>
      </c>
      <c r="E69" s="26">
        <v>44832</v>
      </c>
      <c r="F69" s="22"/>
      <c r="G69" s="22"/>
      <c r="H69" s="22"/>
      <c r="I69" s="22"/>
      <c r="J69" s="22"/>
      <c r="K69" s="22"/>
      <c r="L69" s="81">
        <f t="shared" si="9"/>
        <v>180</v>
      </c>
      <c r="M69" s="81">
        <f t="shared" si="10"/>
        <v>0</v>
      </c>
      <c r="N69" s="81">
        <f t="shared" si="8"/>
        <v>0</v>
      </c>
      <c r="O69" s="81"/>
      <c r="P69" s="81">
        <f t="shared" si="11"/>
        <v>180</v>
      </c>
      <c r="Q69" s="22"/>
    </row>
    <row r="70" spans="1:17" x14ac:dyDescent="0.25">
      <c r="A70" s="4">
        <v>70</v>
      </c>
      <c r="B70" s="59" t="s">
        <v>308</v>
      </c>
      <c r="C70" s="75">
        <v>44378</v>
      </c>
      <c r="D70" s="22"/>
      <c r="E70" s="22"/>
      <c r="F70" s="22"/>
      <c r="G70" s="22"/>
      <c r="H70" s="22"/>
      <c r="I70" s="22"/>
      <c r="J70" s="22"/>
      <c r="K70" s="22"/>
      <c r="L70" s="81">
        <f t="shared" si="9"/>
        <v>0</v>
      </c>
      <c r="M70" s="81">
        <f t="shared" si="10"/>
        <v>0</v>
      </c>
      <c r="N70" s="81">
        <f t="shared" si="8"/>
        <v>0</v>
      </c>
      <c r="O70" s="81"/>
      <c r="P70" s="81">
        <f t="shared" si="11"/>
        <v>0</v>
      </c>
      <c r="Q70" s="22"/>
    </row>
    <row r="71" spans="1:17" x14ac:dyDescent="0.25">
      <c r="A71" s="4">
        <v>71</v>
      </c>
      <c r="B71" s="59" t="s">
        <v>309</v>
      </c>
      <c r="C71" s="75">
        <v>44378</v>
      </c>
      <c r="D71" s="22"/>
      <c r="E71" s="22"/>
      <c r="F71" s="22"/>
      <c r="G71" s="22"/>
      <c r="H71" s="22"/>
      <c r="I71" s="22"/>
      <c r="J71" s="22"/>
      <c r="K71" s="22"/>
      <c r="L71" s="81">
        <f t="shared" si="9"/>
        <v>0</v>
      </c>
      <c r="M71" s="81">
        <f t="shared" si="10"/>
        <v>0</v>
      </c>
      <c r="N71" s="81">
        <f t="shared" si="8"/>
        <v>0</v>
      </c>
      <c r="O71" s="81"/>
      <c r="P71" s="81">
        <f t="shared" si="11"/>
        <v>0</v>
      </c>
      <c r="Q71" s="22"/>
    </row>
    <row r="72" spans="1:17" x14ac:dyDescent="0.25">
      <c r="A72" s="4">
        <v>72</v>
      </c>
      <c r="B72" s="59" t="s">
        <v>310</v>
      </c>
      <c r="C72" s="75">
        <v>44409</v>
      </c>
      <c r="D72" s="22"/>
      <c r="E72" s="22"/>
      <c r="F72" s="22"/>
      <c r="G72" s="22"/>
      <c r="H72" s="22"/>
      <c r="I72" s="22"/>
      <c r="J72" s="22"/>
      <c r="K72" s="22"/>
      <c r="L72" s="81">
        <f t="shared" si="9"/>
        <v>0</v>
      </c>
      <c r="M72" s="81">
        <f t="shared" si="10"/>
        <v>0</v>
      </c>
      <c r="N72" s="81">
        <f t="shared" si="8"/>
        <v>0</v>
      </c>
      <c r="O72" s="81"/>
      <c r="P72" s="81">
        <f t="shared" si="11"/>
        <v>0</v>
      </c>
      <c r="Q72" s="22"/>
    </row>
    <row r="73" spans="1:17" x14ac:dyDescent="0.25">
      <c r="A73" s="4">
        <v>73</v>
      </c>
      <c r="B73" s="60" t="s">
        <v>321</v>
      </c>
      <c r="C73" s="75">
        <v>44378</v>
      </c>
      <c r="D73" s="22"/>
      <c r="E73" s="22"/>
      <c r="F73" s="22"/>
      <c r="G73" s="22"/>
      <c r="H73" s="22"/>
      <c r="I73" s="22"/>
      <c r="J73" s="22"/>
      <c r="K73" s="22"/>
      <c r="L73" s="81">
        <f t="shared" si="9"/>
        <v>0</v>
      </c>
      <c r="M73" s="81">
        <f t="shared" si="10"/>
        <v>0</v>
      </c>
      <c r="N73" s="81">
        <f t="shared" si="8"/>
        <v>0</v>
      </c>
      <c r="O73" s="81"/>
      <c r="P73" s="81">
        <f t="shared" si="11"/>
        <v>0</v>
      </c>
      <c r="Q73" s="22"/>
    </row>
    <row r="74" spans="1:17" x14ac:dyDescent="0.25">
      <c r="A74" s="4">
        <v>74</v>
      </c>
      <c r="B74" s="60" t="s">
        <v>199</v>
      </c>
      <c r="C74" s="75">
        <v>44470</v>
      </c>
      <c r="D74" s="22"/>
      <c r="E74" s="22"/>
      <c r="F74" s="22"/>
      <c r="G74" s="22"/>
      <c r="H74" s="22"/>
      <c r="I74" s="22"/>
      <c r="J74" s="22"/>
      <c r="K74" s="22"/>
      <c r="L74" s="81">
        <f t="shared" si="9"/>
        <v>0</v>
      </c>
      <c r="M74" s="81">
        <f t="shared" si="10"/>
        <v>0</v>
      </c>
      <c r="N74" s="81">
        <f t="shared" si="8"/>
        <v>0</v>
      </c>
      <c r="O74" s="81"/>
      <c r="P74" s="81">
        <f t="shared" si="11"/>
        <v>0</v>
      </c>
      <c r="Q74" s="22"/>
    </row>
    <row r="75" spans="1:17" x14ac:dyDescent="0.25">
      <c r="A75" s="4">
        <v>75</v>
      </c>
      <c r="B75" s="60" t="s">
        <v>315</v>
      </c>
      <c r="C75" s="75">
        <v>44470</v>
      </c>
      <c r="D75" s="22"/>
      <c r="E75" s="22"/>
      <c r="F75" s="22"/>
      <c r="G75" s="22"/>
      <c r="H75" s="22"/>
      <c r="I75" s="22"/>
      <c r="J75" s="22"/>
      <c r="K75" s="22"/>
      <c r="L75" s="81">
        <f t="shared" si="9"/>
        <v>0</v>
      </c>
      <c r="M75" s="81">
        <f t="shared" si="10"/>
        <v>0</v>
      </c>
      <c r="N75" s="81">
        <f t="shared" si="8"/>
        <v>0</v>
      </c>
      <c r="O75" s="81"/>
      <c r="P75" s="81">
        <f t="shared" si="11"/>
        <v>0</v>
      </c>
      <c r="Q75" s="22"/>
    </row>
    <row r="76" spans="1:17" x14ac:dyDescent="0.25">
      <c r="A76" s="4">
        <v>76</v>
      </c>
      <c r="B76" s="60" t="s">
        <v>316</v>
      </c>
      <c r="C76" s="75">
        <v>44470</v>
      </c>
      <c r="D76" s="22"/>
      <c r="E76" s="22"/>
      <c r="F76" s="22"/>
      <c r="G76" s="22"/>
      <c r="H76" s="22"/>
      <c r="I76" s="22"/>
      <c r="J76" s="22"/>
      <c r="K76" s="22"/>
      <c r="L76" s="81">
        <f t="shared" si="9"/>
        <v>0</v>
      </c>
      <c r="M76" s="81">
        <f t="shared" si="10"/>
        <v>0</v>
      </c>
      <c r="N76" s="81">
        <f t="shared" si="8"/>
        <v>0</v>
      </c>
      <c r="O76" s="81"/>
      <c r="P76" s="81">
        <f t="shared" si="11"/>
        <v>0</v>
      </c>
      <c r="Q76" s="22"/>
    </row>
    <row r="77" spans="1:17" x14ac:dyDescent="0.25">
      <c r="A77" s="4">
        <v>77</v>
      </c>
      <c r="B77" s="60" t="s">
        <v>325</v>
      </c>
      <c r="C77" s="75">
        <v>44470</v>
      </c>
      <c r="D77" s="22"/>
      <c r="E77" s="22"/>
      <c r="F77" s="22"/>
      <c r="G77" s="22"/>
      <c r="H77" s="22"/>
      <c r="I77" s="22"/>
      <c r="J77" s="22"/>
      <c r="K77" s="22"/>
      <c r="L77" s="81">
        <f t="shared" si="9"/>
        <v>0</v>
      </c>
      <c r="M77" s="81">
        <f t="shared" si="10"/>
        <v>0</v>
      </c>
      <c r="N77" s="81">
        <f t="shared" si="8"/>
        <v>0</v>
      </c>
      <c r="O77" s="81"/>
      <c r="P77" s="81">
        <f t="shared" si="11"/>
        <v>0</v>
      </c>
      <c r="Q77" s="22"/>
    </row>
    <row r="78" spans="1:17" x14ac:dyDescent="0.25">
      <c r="A78" s="4">
        <v>78</v>
      </c>
      <c r="B78" s="60" t="s">
        <v>317</v>
      </c>
      <c r="C78" s="75">
        <v>44470</v>
      </c>
      <c r="D78" s="22"/>
      <c r="E78" s="22"/>
      <c r="F78" s="22"/>
      <c r="G78" s="22"/>
      <c r="H78" s="22"/>
      <c r="I78" s="22"/>
      <c r="J78" s="22"/>
      <c r="K78" s="22"/>
      <c r="L78" s="81">
        <f t="shared" si="9"/>
        <v>0</v>
      </c>
      <c r="M78" s="81">
        <f t="shared" si="10"/>
        <v>0</v>
      </c>
      <c r="N78" s="81">
        <f t="shared" si="8"/>
        <v>0</v>
      </c>
      <c r="O78" s="81"/>
      <c r="P78" s="81">
        <f t="shared" si="11"/>
        <v>0</v>
      </c>
      <c r="Q78" s="22"/>
    </row>
    <row r="79" spans="1:17" x14ac:dyDescent="0.25">
      <c r="A79" s="4">
        <v>79</v>
      </c>
      <c r="B79" s="63" t="s">
        <v>326</v>
      </c>
      <c r="C79" s="75">
        <v>44562</v>
      </c>
      <c r="D79" s="22"/>
      <c r="E79" s="22"/>
      <c r="F79" s="22"/>
      <c r="G79" s="22"/>
      <c r="H79" s="22"/>
      <c r="I79" s="22"/>
      <c r="J79" s="22"/>
      <c r="K79" s="22"/>
      <c r="L79" s="81">
        <f t="shared" si="9"/>
        <v>0</v>
      </c>
      <c r="M79" s="81">
        <f t="shared" si="10"/>
        <v>0</v>
      </c>
      <c r="N79" s="81">
        <f t="shared" si="8"/>
        <v>0</v>
      </c>
      <c r="O79" s="81"/>
      <c r="P79" s="81">
        <f t="shared" si="11"/>
        <v>0</v>
      </c>
      <c r="Q79" s="22"/>
    </row>
    <row r="80" spans="1:17" x14ac:dyDescent="0.25">
      <c r="A80" s="4">
        <v>80</v>
      </c>
      <c r="B80" s="63" t="s">
        <v>327</v>
      </c>
      <c r="C80" s="75">
        <v>44562</v>
      </c>
      <c r="D80" s="22"/>
      <c r="E80" s="22"/>
      <c r="F80" s="22"/>
      <c r="G80" s="22"/>
      <c r="H80" s="22"/>
      <c r="I80" s="22"/>
      <c r="J80" s="22"/>
      <c r="K80" s="22"/>
      <c r="L80" s="81">
        <f t="shared" si="9"/>
        <v>0</v>
      </c>
      <c r="M80" s="81">
        <f t="shared" si="10"/>
        <v>0</v>
      </c>
      <c r="N80" s="81">
        <f t="shared" si="8"/>
        <v>0</v>
      </c>
      <c r="O80" s="81"/>
      <c r="P80" s="81">
        <f t="shared" si="11"/>
        <v>0</v>
      </c>
      <c r="Q80" s="22"/>
    </row>
    <row r="81" spans="1:17" x14ac:dyDescent="0.25">
      <c r="A81" s="4">
        <v>81</v>
      </c>
      <c r="B81" s="63" t="s">
        <v>328</v>
      </c>
      <c r="C81" s="75">
        <v>44562</v>
      </c>
      <c r="D81" s="22"/>
      <c r="E81" s="22"/>
      <c r="F81" s="22"/>
      <c r="G81" s="22"/>
      <c r="H81" s="22"/>
      <c r="I81" s="22"/>
      <c r="J81" s="22"/>
      <c r="K81" s="22"/>
      <c r="L81" s="81">
        <f t="shared" si="9"/>
        <v>0</v>
      </c>
      <c r="M81" s="81">
        <f t="shared" si="10"/>
        <v>0</v>
      </c>
      <c r="N81" s="81">
        <f t="shared" si="8"/>
        <v>0</v>
      </c>
      <c r="O81" s="81"/>
      <c r="P81" s="81">
        <f t="shared" si="11"/>
        <v>0</v>
      </c>
      <c r="Q81" s="22"/>
    </row>
    <row r="82" spans="1:17" x14ac:dyDescent="0.25">
      <c r="A82" s="4">
        <v>82</v>
      </c>
      <c r="B82" s="63" t="s">
        <v>329</v>
      </c>
      <c r="C82" s="75">
        <v>44562</v>
      </c>
      <c r="D82" s="22"/>
      <c r="E82" s="22"/>
      <c r="F82" s="22"/>
      <c r="G82" s="22"/>
      <c r="H82" s="22"/>
      <c r="I82" s="22"/>
      <c r="J82" s="22"/>
      <c r="K82" s="22"/>
      <c r="L82" s="81">
        <f t="shared" si="9"/>
        <v>0</v>
      </c>
      <c r="M82" s="81">
        <f t="shared" si="10"/>
        <v>0</v>
      </c>
      <c r="N82" s="81">
        <f t="shared" si="8"/>
        <v>0</v>
      </c>
      <c r="O82" s="81"/>
      <c r="P82" s="81">
        <f t="shared" si="11"/>
        <v>0</v>
      </c>
      <c r="Q82" s="22"/>
    </row>
    <row r="83" spans="1:17" x14ac:dyDescent="0.25">
      <c r="A83" s="4">
        <v>83</v>
      </c>
      <c r="B83" s="63" t="s">
        <v>330</v>
      </c>
      <c r="C83" s="75">
        <v>44652</v>
      </c>
      <c r="D83" s="22"/>
      <c r="E83" s="22"/>
      <c r="F83" s="22"/>
      <c r="G83" s="22"/>
      <c r="H83" s="22"/>
      <c r="I83" s="22"/>
      <c r="J83" s="22"/>
      <c r="K83" s="22"/>
      <c r="L83" s="81">
        <f t="shared" si="9"/>
        <v>0</v>
      </c>
      <c r="M83" s="81">
        <f t="shared" si="10"/>
        <v>0</v>
      </c>
      <c r="N83" s="81">
        <f t="shared" si="8"/>
        <v>0</v>
      </c>
      <c r="O83" s="81"/>
      <c r="P83" s="81">
        <f t="shared" si="11"/>
        <v>0</v>
      </c>
      <c r="Q83" s="22"/>
    </row>
    <row r="84" spans="1:17" x14ac:dyDescent="0.25">
      <c r="A84" s="4">
        <v>84</v>
      </c>
      <c r="B84" s="63" t="s">
        <v>233</v>
      </c>
      <c r="C84" s="75">
        <v>44682</v>
      </c>
      <c r="D84" s="22"/>
      <c r="E84" s="22"/>
      <c r="F84" s="22"/>
      <c r="G84" s="22"/>
      <c r="H84" s="22"/>
      <c r="I84" s="22"/>
      <c r="J84" s="22"/>
      <c r="K84" s="22"/>
      <c r="L84" s="81">
        <f t="shared" si="9"/>
        <v>0</v>
      </c>
      <c r="M84" s="81">
        <f t="shared" si="10"/>
        <v>0</v>
      </c>
      <c r="N84" s="81">
        <f t="shared" si="8"/>
        <v>0</v>
      </c>
      <c r="O84" s="81"/>
      <c r="P84" s="81">
        <f t="shared" si="11"/>
        <v>0</v>
      </c>
      <c r="Q84" s="22"/>
    </row>
    <row r="85" spans="1:17" x14ac:dyDescent="0.25">
      <c r="A85" s="4">
        <v>85</v>
      </c>
      <c r="B85" s="63" t="s">
        <v>331</v>
      </c>
      <c r="C85" s="75">
        <v>44682</v>
      </c>
      <c r="D85" s="22"/>
      <c r="E85" s="22"/>
      <c r="F85" s="22"/>
      <c r="G85" s="22"/>
      <c r="H85" s="22"/>
      <c r="I85" s="22"/>
      <c r="J85" s="22"/>
      <c r="K85" s="22"/>
      <c r="L85" s="81">
        <f t="shared" si="9"/>
        <v>0</v>
      </c>
      <c r="M85" s="81">
        <f t="shared" si="10"/>
        <v>0</v>
      </c>
      <c r="N85" s="81">
        <f t="shared" si="8"/>
        <v>0</v>
      </c>
      <c r="O85" s="81"/>
      <c r="P85" s="81">
        <f t="shared" si="11"/>
        <v>0</v>
      </c>
      <c r="Q85" s="22"/>
    </row>
    <row r="86" spans="1:17" ht="15.75" x14ac:dyDescent="0.25">
      <c r="A86" s="4">
        <v>86</v>
      </c>
      <c r="B86" s="65" t="s">
        <v>332</v>
      </c>
      <c r="C86" s="75">
        <v>44682</v>
      </c>
      <c r="D86" s="22"/>
      <c r="E86" s="22"/>
      <c r="F86" s="22"/>
      <c r="G86" s="22"/>
      <c r="H86" s="22"/>
      <c r="I86" s="22"/>
      <c r="J86" s="22"/>
      <c r="K86" s="22"/>
      <c r="L86" s="81">
        <f t="shared" si="9"/>
        <v>0</v>
      </c>
      <c r="M86" s="81">
        <f t="shared" si="10"/>
        <v>0</v>
      </c>
      <c r="N86" s="81">
        <f t="shared" si="8"/>
        <v>0</v>
      </c>
      <c r="O86" s="81"/>
      <c r="P86" s="81">
        <f t="shared" si="11"/>
        <v>0</v>
      </c>
      <c r="Q86" s="22"/>
    </row>
    <row r="87" spans="1:17" x14ac:dyDescent="0.25">
      <c r="A87" s="4">
        <v>87</v>
      </c>
      <c r="B87" s="63" t="s">
        <v>333</v>
      </c>
      <c r="C87" s="75">
        <v>44682</v>
      </c>
      <c r="D87" s="22"/>
      <c r="E87" s="22"/>
      <c r="F87" s="22"/>
      <c r="G87" s="22"/>
      <c r="H87" s="22"/>
      <c r="I87" s="22"/>
      <c r="J87" s="22"/>
      <c r="K87" s="22"/>
      <c r="L87" s="81">
        <f t="shared" si="9"/>
        <v>0</v>
      </c>
      <c r="M87" s="81">
        <f t="shared" si="10"/>
        <v>0</v>
      </c>
      <c r="N87" s="81">
        <f t="shared" si="8"/>
        <v>0</v>
      </c>
      <c r="O87" s="81"/>
      <c r="P87" s="81">
        <f t="shared" si="11"/>
        <v>0</v>
      </c>
      <c r="Q87" s="22"/>
    </row>
    <row r="88" spans="1:17" x14ac:dyDescent="0.25">
      <c r="A88" s="4">
        <v>88</v>
      </c>
      <c r="B88" s="63" t="s">
        <v>334</v>
      </c>
      <c r="C88" s="75">
        <v>44682</v>
      </c>
      <c r="D88" s="22"/>
      <c r="E88" s="22"/>
      <c r="F88" s="22"/>
      <c r="G88" s="22"/>
      <c r="H88" s="22"/>
      <c r="I88" s="22"/>
      <c r="J88" s="22"/>
      <c r="K88" s="22"/>
      <c r="L88" s="81">
        <f t="shared" si="9"/>
        <v>0</v>
      </c>
      <c r="M88" s="81">
        <f t="shared" si="10"/>
        <v>0</v>
      </c>
      <c r="N88" s="81">
        <f t="shared" si="8"/>
        <v>0</v>
      </c>
      <c r="O88" s="81"/>
      <c r="P88" s="81">
        <f t="shared" si="11"/>
        <v>0</v>
      </c>
      <c r="Q88" s="22"/>
    </row>
    <row r="89" spans="1:17" x14ac:dyDescent="0.25">
      <c r="A89" s="4">
        <v>89</v>
      </c>
      <c r="B89" s="64" t="s">
        <v>343</v>
      </c>
      <c r="C89" s="75">
        <v>44652</v>
      </c>
      <c r="D89" s="22"/>
      <c r="E89" s="22"/>
      <c r="F89" s="22"/>
      <c r="G89" s="22"/>
      <c r="H89" s="22"/>
      <c r="I89" s="22"/>
      <c r="J89" s="22"/>
      <c r="K89" s="22"/>
      <c r="L89" s="81">
        <f t="shared" si="9"/>
        <v>0</v>
      </c>
      <c r="M89" s="81">
        <f t="shared" si="10"/>
        <v>0</v>
      </c>
      <c r="N89" s="81">
        <f>I89-H89</f>
        <v>0</v>
      </c>
      <c r="O89" s="81"/>
      <c r="P89" s="81">
        <f>L89+M89+N89</f>
        <v>0</v>
      </c>
      <c r="Q89" s="22"/>
    </row>
    <row r="90" spans="1:17" x14ac:dyDescent="0.25">
      <c r="A90" s="4">
        <v>90</v>
      </c>
      <c r="B90" s="64" t="s">
        <v>337</v>
      </c>
      <c r="C90" s="75">
        <v>44682</v>
      </c>
      <c r="D90" s="22"/>
      <c r="E90" s="22"/>
      <c r="F90" s="22"/>
      <c r="G90" s="22"/>
      <c r="H90" s="22"/>
      <c r="I90" s="22"/>
      <c r="J90" s="22"/>
      <c r="K90" s="22"/>
      <c r="L90" s="81">
        <f t="shared" si="9"/>
        <v>0</v>
      </c>
      <c r="M90" s="81">
        <f t="shared" si="10"/>
        <v>0</v>
      </c>
      <c r="N90" s="81">
        <f>I90-H90</f>
        <v>0</v>
      </c>
      <c r="O90" s="81"/>
      <c r="P90" s="81">
        <f>L90+M90+N90</f>
        <v>0</v>
      </c>
      <c r="Q90" s="22"/>
    </row>
    <row r="91" spans="1:17" x14ac:dyDescent="0.25">
      <c r="A91" s="4">
        <v>91</v>
      </c>
      <c r="B91" s="64" t="s">
        <v>338</v>
      </c>
      <c r="C91" s="75">
        <v>44682</v>
      </c>
      <c r="D91" s="22"/>
      <c r="E91" s="22"/>
      <c r="F91" s="22"/>
      <c r="G91" s="22"/>
      <c r="H91" s="22"/>
      <c r="I91" s="22"/>
      <c r="J91" s="22"/>
      <c r="K91" s="22"/>
      <c r="L91" s="81">
        <f t="shared" si="9"/>
        <v>0</v>
      </c>
      <c r="M91" s="81">
        <f t="shared" si="10"/>
        <v>0</v>
      </c>
      <c r="N91" s="81">
        <f t="shared" ref="N91:N116" si="12">I91-H91</f>
        <v>0</v>
      </c>
      <c r="O91" s="81"/>
      <c r="P91" s="81">
        <f t="shared" ref="P91:P116" si="13">L91+M91+N91</f>
        <v>0</v>
      </c>
      <c r="Q91" s="22"/>
    </row>
    <row r="92" spans="1:17" x14ac:dyDescent="0.25">
      <c r="A92" s="4">
        <v>92</v>
      </c>
      <c r="B92" s="64" t="s">
        <v>339</v>
      </c>
      <c r="C92" s="75">
        <v>44682</v>
      </c>
      <c r="D92" s="22"/>
      <c r="E92" s="22"/>
      <c r="F92" s="22"/>
      <c r="G92" s="22"/>
      <c r="H92" s="22"/>
      <c r="I92" s="22"/>
      <c r="J92" s="22"/>
      <c r="K92" s="22"/>
      <c r="L92" s="81">
        <f t="shared" si="9"/>
        <v>0</v>
      </c>
      <c r="M92" s="81">
        <f t="shared" si="10"/>
        <v>0</v>
      </c>
      <c r="N92" s="81">
        <f t="shared" si="12"/>
        <v>0</v>
      </c>
      <c r="O92" s="81"/>
      <c r="P92" s="81">
        <f t="shared" si="13"/>
        <v>0</v>
      </c>
      <c r="Q92" s="22"/>
    </row>
    <row r="93" spans="1:17" x14ac:dyDescent="0.25">
      <c r="A93" s="4">
        <v>93</v>
      </c>
      <c r="B93" s="64" t="s">
        <v>340</v>
      </c>
      <c r="C93" s="75">
        <v>44682</v>
      </c>
      <c r="D93" s="22"/>
      <c r="E93" s="22"/>
      <c r="F93" s="22"/>
      <c r="G93" s="22"/>
      <c r="H93" s="22"/>
      <c r="I93" s="22"/>
      <c r="J93" s="22"/>
      <c r="K93" s="22"/>
      <c r="L93" s="81">
        <f t="shared" si="9"/>
        <v>0</v>
      </c>
      <c r="M93" s="81">
        <f t="shared" si="10"/>
        <v>0</v>
      </c>
      <c r="N93" s="81">
        <f t="shared" si="12"/>
        <v>0</v>
      </c>
      <c r="O93" s="81"/>
      <c r="P93" s="81">
        <f t="shared" si="13"/>
        <v>0</v>
      </c>
      <c r="Q93" s="22"/>
    </row>
    <row r="94" spans="1:17" x14ac:dyDescent="0.25">
      <c r="A94" s="4">
        <v>94</v>
      </c>
      <c r="B94" s="6" t="s">
        <v>30</v>
      </c>
      <c r="C94" s="74">
        <v>39083</v>
      </c>
      <c r="D94" s="26"/>
      <c r="E94" s="26"/>
      <c r="F94" s="22"/>
      <c r="G94" s="22"/>
      <c r="H94" s="22"/>
      <c r="I94" s="22"/>
      <c r="J94" s="22"/>
      <c r="K94" s="22"/>
      <c r="L94" s="81">
        <f t="shared" si="9"/>
        <v>0</v>
      </c>
      <c r="M94" s="81">
        <f t="shared" si="10"/>
        <v>0</v>
      </c>
      <c r="N94" s="81">
        <f t="shared" si="12"/>
        <v>0</v>
      </c>
      <c r="O94" s="81"/>
      <c r="P94" s="81">
        <f t="shared" si="13"/>
        <v>0</v>
      </c>
      <c r="Q94" s="22"/>
    </row>
    <row r="95" spans="1:17" x14ac:dyDescent="0.25">
      <c r="A95" s="4">
        <v>95</v>
      </c>
      <c r="B95" s="6" t="s">
        <v>31</v>
      </c>
      <c r="C95" s="74">
        <v>39083</v>
      </c>
      <c r="D95" s="26">
        <v>44700</v>
      </c>
      <c r="E95" s="26">
        <v>44764</v>
      </c>
      <c r="F95" s="22"/>
      <c r="G95" s="22"/>
      <c r="H95" s="22"/>
      <c r="I95" s="22"/>
      <c r="J95" s="22"/>
      <c r="K95" s="22"/>
      <c r="L95" s="81">
        <f t="shared" si="9"/>
        <v>64</v>
      </c>
      <c r="M95" s="81">
        <f t="shared" si="10"/>
        <v>0</v>
      </c>
      <c r="N95" s="81">
        <f t="shared" si="12"/>
        <v>0</v>
      </c>
      <c r="O95" s="81"/>
      <c r="P95" s="81">
        <f t="shared" si="13"/>
        <v>64</v>
      </c>
      <c r="Q95" s="22"/>
    </row>
    <row r="96" spans="1:17" x14ac:dyDescent="0.25">
      <c r="A96" s="4">
        <v>96</v>
      </c>
      <c r="B96" s="6" t="s">
        <v>33</v>
      </c>
      <c r="C96" s="74">
        <v>40940</v>
      </c>
      <c r="D96" s="26">
        <v>44568</v>
      </c>
      <c r="E96" s="26">
        <v>44642</v>
      </c>
      <c r="F96" s="22"/>
      <c r="G96" s="22"/>
      <c r="H96" s="22"/>
      <c r="I96" s="22"/>
      <c r="J96" s="22"/>
      <c r="K96" s="22"/>
      <c r="L96" s="81">
        <f t="shared" si="9"/>
        <v>74</v>
      </c>
      <c r="M96" s="81">
        <f t="shared" si="10"/>
        <v>0</v>
      </c>
      <c r="N96" s="81">
        <f t="shared" si="12"/>
        <v>0</v>
      </c>
      <c r="O96" s="81"/>
      <c r="P96" s="81">
        <f t="shared" si="13"/>
        <v>74</v>
      </c>
      <c r="Q96" s="22"/>
    </row>
    <row r="97" spans="1:17" ht="14.25" customHeight="1" x14ac:dyDescent="0.25">
      <c r="A97" s="4">
        <v>97</v>
      </c>
      <c r="B97" s="6" t="s">
        <v>55</v>
      </c>
      <c r="C97" s="74">
        <v>40848</v>
      </c>
      <c r="D97" s="26">
        <v>44805</v>
      </c>
      <c r="E97" s="26">
        <v>44885</v>
      </c>
      <c r="F97" s="22"/>
      <c r="G97" s="22"/>
      <c r="H97" s="22"/>
      <c r="I97" s="22"/>
      <c r="J97" s="22"/>
      <c r="K97" s="22"/>
      <c r="L97" s="81">
        <f t="shared" si="9"/>
        <v>80</v>
      </c>
      <c r="M97" s="81">
        <f t="shared" si="10"/>
        <v>0</v>
      </c>
      <c r="N97" s="81">
        <f t="shared" si="12"/>
        <v>0</v>
      </c>
      <c r="O97" s="81"/>
      <c r="P97" s="81">
        <f t="shared" si="13"/>
        <v>80</v>
      </c>
      <c r="Q97" s="22"/>
    </row>
    <row r="98" spans="1:17" ht="17.25" customHeight="1" x14ac:dyDescent="0.25">
      <c r="A98" s="4">
        <v>98</v>
      </c>
      <c r="B98" s="6" t="s">
        <v>48</v>
      </c>
      <c r="C98" s="77">
        <v>39173</v>
      </c>
      <c r="D98" s="26">
        <v>44674</v>
      </c>
      <c r="E98" s="26">
        <v>44713</v>
      </c>
      <c r="F98" s="22"/>
      <c r="G98" s="22"/>
      <c r="H98" s="22"/>
      <c r="I98" s="22"/>
      <c r="J98" s="22"/>
      <c r="K98" s="22"/>
      <c r="L98" s="81">
        <f t="shared" ref="L98:L129" si="14">E98-D98</f>
        <v>39</v>
      </c>
      <c r="M98" s="81">
        <f t="shared" ref="M98:M129" si="15">G98-F98</f>
        <v>0</v>
      </c>
      <c r="N98" s="81">
        <f t="shared" si="12"/>
        <v>0</v>
      </c>
      <c r="O98" s="81"/>
      <c r="P98" s="81">
        <f t="shared" si="13"/>
        <v>39</v>
      </c>
      <c r="Q98" s="22"/>
    </row>
    <row r="99" spans="1:17" x14ac:dyDescent="0.25">
      <c r="A99" s="4">
        <v>99</v>
      </c>
      <c r="B99" s="6" t="s">
        <v>287</v>
      </c>
      <c r="C99" s="74">
        <v>44075</v>
      </c>
      <c r="D99" s="26"/>
      <c r="E99" s="26"/>
      <c r="F99" s="22"/>
      <c r="G99" s="22"/>
      <c r="H99" s="22"/>
      <c r="I99" s="22"/>
      <c r="J99" s="22"/>
      <c r="K99" s="22"/>
      <c r="L99" s="81">
        <f t="shared" si="14"/>
        <v>0</v>
      </c>
      <c r="M99" s="81">
        <f t="shared" si="15"/>
        <v>0</v>
      </c>
      <c r="N99" s="81">
        <f t="shared" si="12"/>
        <v>0</v>
      </c>
      <c r="O99" s="81"/>
      <c r="P99" s="81">
        <f t="shared" si="13"/>
        <v>0</v>
      </c>
      <c r="Q99" s="22"/>
    </row>
    <row r="100" spans="1:17" x14ac:dyDescent="0.25">
      <c r="A100" s="4">
        <v>100</v>
      </c>
      <c r="B100" s="6" t="s">
        <v>344</v>
      </c>
      <c r="C100" s="74">
        <v>44378</v>
      </c>
      <c r="D100" s="26"/>
      <c r="E100" s="26"/>
      <c r="F100" s="22"/>
      <c r="G100" s="22"/>
      <c r="H100" s="22"/>
      <c r="I100" s="22"/>
      <c r="J100" s="22"/>
      <c r="K100" s="22"/>
      <c r="L100" s="81">
        <f t="shared" si="14"/>
        <v>0</v>
      </c>
      <c r="M100" s="81">
        <f t="shared" si="15"/>
        <v>0</v>
      </c>
      <c r="N100" s="81">
        <f t="shared" si="12"/>
        <v>0</v>
      </c>
      <c r="O100" s="81"/>
      <c r="P100" s="81">
        <f t="shared" si="13"/>
        <v>0</v>
      </c>
      <c r="Q100" s="22"/>
    </row>
    <row r="101" spans="1:17" x14ac:dyDescent="0.25">
      <c r="A101" s="4">
        <v>101</v>
      </c>
      <c r="B101" s="6" t="s">
        <v>341</v>
      </c>
      <c r="C101" s="74">
        <v>44682</v>
      </c>
      <c r="D101" s="26"/>
      <c r="E101" s="26"/>
      <c r="F101" s="22"/>
      <c r="G101" s="22"/>
      <c r="H101" s="22"/>
      <c r="I101" s="22"/>
      <c r="J101" s="22"/>
      <c r="K101" s="22"/>
      <c r="L101" s="81">
        <f t="shared" si="14"/>
        <v>0</v>
      </c>
      <c r="M101" s="81">
        <f t="shared" si="15"/>
        <v>0</v>
      </c>
      <c r="N101" s="81">
        <f t="shared" si="12"/>
        <v>0</v>
      </c>
      <c r="O101" s="81"/>
      <c r="P101" s="81">
        <f t="shared" si="13"/>
        <v>0</v>
      </c>
      <c r="Q101" s="22"/>
    </row>
    <row r="102" spans="1:17" x14ac:dyDescent="0.25">
      <c r="A102" s="4">
        <v>102</v>
      </c>
      <c r="B102" s="6" t="s">
        <v>34</v>
      </c>
      <c r="C102" s="74">
        <v>39083</v>
      </c>
      <c r="D102" s="26"/>
      <c r="E102" s="26"/>
      <c r="F102" s="26"/>
      <c r="G102" s="26"/>
      <c r="H102" s="26"/>
      <c r="I102" s="26"/>
      <c r="J102" s="26"/>
      <c r="K102" s="26"/>
      <c r="L102" s="81">
        <f t="shared" si="14"/>
        <v>0</v>
      </c>
      <c r="M102" s="81">
        <f t="shared" si="15"/>
        <v>0</v>
      </c>
      <c r="N102" s="81">
        <f t="shared" si="12"/>
        <v>0</v>
      </c>
      <c r="O102" s="81"/>
      <c r="P102" s="81">
        <f t="shared" si="13"/>
        <v>0</v>
      </c>
      <c r="Q102" s="22"/>
    </row>
    <row r="103" spans="1:17" x14ac:dyDescent="0.25">
      <c r="A103" s="4">
        <v>103</v>
      </c>
      <c r="B103" s="6" t="s">
        <v>37</v>
      </c>
      <c r="C103" s="74">
        <v>40544</v>
      </c>
      <c r="D103" s="26">
        <v>44562</v>
      </c>
      <c r="E103" s="26">
        <v>44571</v>
      </c>
      <c r="F103" s="26">
        <v>44775</v>
      </c>
      <c r="G103" s="26">
        <v>44786</v>
      </c>
      <c r="H103" s="26">
        <v>44873</v>
      </c>
      <c r="I103" s="26">
        <v>44894</v>
      </c>
      <c r="J103" s="26"/>
      <c r="K103" s="26"/>
      <c r="L103" s="81">
        <f t="shared" si="14"/>
        <v>9</v>
      </c>
      <c r="M103" s="81">
        <f t="shared" si="15"/>
        <v>11</v>
      </c>
      <c r="N103" s="81">
        <f t="shared" si="12"/>
        <v>21</v>
      </c>
      <c r="O103" s="81"/>
      <c r="P103" s="81">
        <f t="shared" si="13"/>
        <v>41</v>
      </c>
      <c r="Q103" s="22"/>
    </row>
    <row r="104" spans="1:17" x14ac:dyDescent="0.25">
      <c r="A104" s="4">
        <v>104</v>
      </c>
      <c r="B104" s="6" t="s">
        <v>157</v>
      </c>
      <c r="C104" s="74">
        <v>41456</v>
      </c>
      <c r="D104" s="26">
        <v>44803</v>
      </c>
      <c r="E104" s="26">
        <v>44864</v>
      </c>
      <c r="F104" s="22"/>
      <c r="G104" s="22"/>
      <c r="H104" s="22"/>
      <c r="I104" s="22"/>
      <c r="J104" s="22"/>
      <c r="K104" s="22"/>
      <c r="L104" s="81">
        <f t="shared" si="14"/>
        <v>61</v>
      </c>
      <c r="M104" s="81">
        <f t="shared" si="15"/>
        <v>0</v>
      </c>
      <c r="N104" s="81">
        <f t="shared" si="12"/>
        <v>0</v>
      </c>
      <c r="O104" s="81"/>
      <c r="P104" s="81">
        <f t="shared" si="13"/>
        <v>61</v>
      </c>
      <c r="Q104" s="22"/>
    </row>
    <row r="105" spans="1:17" x14ac:dyDescent="0.25">
      <c r="A105" s="4">
        <v>105</v>
      </c>
      <c r="B105" s="6" t="s">
        <v>245</v>
      </c>
      <c r="C105" s="74">
        <v>42979</v>
      </c>
      <c r="D105" s="26">
        <v>44654</v>
      </c>
      <c r="E105" s="26">
        <v>44715</v>
      </c>
      <c r="F105" s="22"/>
      <c r="G105" s="22"/>
      <c r="H105" s="22"/>
      <c r="I105" s="22"/>
      <c r="J105" s="22"/>
      <c r="K105" s="22"/>
      <c r="L105" s="81">
        <f t="shared" si="14"/>
        <v>61</v>
      </c>
      <c r="M105" s="81">
        <f t="shared" si="15"/>
        <v>0</v>
      </c>
      <c r="N105" s="81">
        <f t="shared" si="12"/>
        <v>0</v>
      </c>
      <c r="O105" s="81"/>
      <c r="P105" s="81">
        <f t="shared" si="13"/>
        <v>61</v>
      </c>
      <c r="Q105" s="22"/>
    </row>
    <row r="106" spans="1:17" x14ac:dyDescent="0.25">
      <c r="A106" s="4">
        <v>106</v>
      </c>
      <c r="B106" s="6" t="s">
        <v>282</v>
      </c>
      <c r="C106" s="74">
        <v>44013</v>
      </c>
      <c r="D106" s="26">
        <v>44758</v>
      </c>
      <c r="E106" s="26">
        <v>44819</v>
      </c>
      <c r="F106" s="22"/>
      <c r="G106" s="22"/>
      <c r="H106" s="22"/>
      <c r="I106" s="22"/>
      <c r="J106" s="22"/>
      <c r="K106" s="22"/>
      <c r="L106" s="81">
        <f t="shared" si="14"/>
        <v>61</v>
      </c>
      <c r="M106" s="81">
        <f t="shared" si="15"/>
        <v>0</v>
      </c>
      <c r="N106" s="81">
        <f t="shared" si="12"/>
        <v>0</v>
      </c>
      <c r="O106" s="81"/>
      <c r="P106" s="81">
        <f t="shared" si="13"/>
        <v>61</v>
      </c>
      <c r="Q106" s="22"/>
    </row>
    <row r="107" spans="1:17" x14ac:dyDescent="0.25">
      <c r="A107" s="4">
        <v>107</v>
      </c>
      <c r="B107" s="6" t="s">
        <v>283</v>
      </c>
      <c r="C107" s="74">
        <v>44013</v>
      </c>
      <c r="D107" s="26"/>
      <c r="E107" s="26"/>
      <c r="F107" s="22"/>
      <c r="G107" s="22"/>
      <c r="H107" s="22"/>
      <c r="I107" s="22"/>
      <c r="J107" s="22"/>
      <c r="K107" s="22"/>
      <c r="L107" s="81">
        <f t="shared" si="14"/>
        <v>0</v>
      </c>
      <c r="M107" s="81">
        <f t="shared" si="15"/>
        <v>0</v>
      </c>
      <c r="N107" s="81">
        <f t="shared" si="12"/>
        <v>0</v>
      </c>
      <c r="O107" s="81"/>
      <c r="P107" s="81">
        <f t="shared" si="13"/>
        <v>0</v>
      </c>
      <c r="Q107" s="22"/>
    </row>
    <row r="108" spans="1:17" x14ac:dyDescent="0.25">
      <c r="A108" s="4">
        <v>108</v>
      </c>
      <c r="B108" s="6" t="s">
        <v>288</v>
      </c>
      <c r="C108" s="74">
        <v>44105</v>
      </c>
      <c r="D108" s="26"/>
      <c r="E108" s="26"/>
      <c r="F108" s="22"/>
      <c r="G108" s="22"/>
      <c r="H108" s="22"/>
      <c r="I108" s="22"/>
      <c r="J108" s="22"/>
      <c r="K108" s="22"/>
      <c r="L108" s="81">
        <f t="shared" si="14"/>
        <v>0</v>
      </c>
      <c r="M108" s="81">
        <f t="shared" si="15"/>
        <v>0</v>
      </c>
      <c r="N108" s="81">
        <f t="shared" si="12"/>
        <v>0</v>
      </c>
      <c r="O108" s="81"/>
      <c r="P108" s="81">
        <f t="shared" si="13"/>
        <v>0</v>
      </c>
      <c r="Q108" s="22"/>
    </row>
    <row r="109" spans="1:17" x14ac:dyDescent="0.25">
      <c r="A109" s="4">
        <v>109</v>
      </c>
      <c r="B109" s="6" t="s">
        <v>43</v>
      </c>
      <c r="C109" s="74">
        <v>40210</v>
      </c>
      <c r="D109" s="26"/>
      <c r="E109" s="26"/>
      <c r="F109" s="22"/>
      <c r="G109" s="22"/>
      <c r="H109" s="22"/>
      <c r="I109" s="22"/>
      <c r="J109" s="22"/>
      <c r="K109" s="22"/>
      <c r="L109" s="81">
        <f t="shared" si="14"/>
        <v>0</v>
      </c>
      <c r="M109" s="81">
        <f t="shared" si="15"/>
        <v>0</v>
      </c>
      <c r="N109" s="81">
        <f t="shared" si="12"/>
        <v>0</v>
      </c>
      <c r="O109" s="81"/>
      <c r="P109" s="81">
        <f t="shared" si="13"/>
        <v>0</v>
      </c>
      <c r="Q109" s="22"/>
    </row>
    <row r="110" spans="1:17" x14ac:dyDescent="0.25">
      <c r="A110" s="4">
        <v>110</v>
      </c>
      <c r="B110" s="6" t="s">
        <v>318</v>
      </c>
      <c r="C110" s="74">
        <v>44470</v>
      </c>
      <c r="D110" s="26"/>
      <c r="E110" s="26"/>
      <c r="F110" s="22"/>
      <c r="G110" s="22"/>
      <c r="H110" s="22"/>
      <c r="I110" s="22"/>
      <c r="J110" s="22"/>
      <c r="K110" s="22"/>
      <c r="L110" s="81">
        <f t="shared" si="14"/>
        <v>0</v>
      </c>
      <c r="M110" s="81">
        <f t="shared" si="15"/>
        <v>0</v>
      </c>
      <c r="N110" s="81">
        <f t="shared" si="12"/>
        <v>0</v>
      </c>
      <c r="O110" s="81"/>
      <c r="P110" s="81">
        <f t="shared" si="13"/>
        <v>0</v>
      </c>
      <c r="Q110" s="22"/>
    </row>
    <row r="111" spans="1:17" x14ac:dyDescent="0.25">
      <c r="A111" s="4">
        <v>111</v>
      </c>
      <c r="B111" s="6" t="s">
        <v>274</v>
      </c>
      <c r="C111" s="78">
        <v>43678</v>
      </c>
      <c r="D111" s="26">
        <v>44577</v>
      </c>
      <c r="E111" s="26">
        <v>44637</v>
      </c>
      <c r="F111" s="22"/>
      <c r="G111" s="22"/>
      <c r="H111" s="22"/>
      <c r="I111" s="22"/>
      <c r="J111" s="22"/>
      <c r="K111" s="22"/>
      <c r="L111" s="81">
        <f t="shared" si="14"/>
        <v>60</v>
      </c>
      <c r="M111" s="81">
        <f t="shared" si="15"/>
        <v>0</v>
      </c>
      <c r="N111" s="81">
        <f t="shared" si="12"/>
        <v>0</v>
      </c>
      <c r="O111" s="81"/>
      <c r="P111" s="81">
        <f t="shared" si="13"/>
        <v>60</v>
      </c>
      <c r="Q111" s="22"/>
    </row>
    <row r="112" spans="1:17" x14ac:dyDescent="0.25">
      <c r="A112" s="4">
        <v>113</v>
      </c>
      <c r="B112" s="6" t="s">
        <v>40</v>
      </c>
      <c r="C112" s="74">
        <v>39083</v>
      </c>
      <c r="D112" s="26"/>
      <c r="E112" s="26"/>
      <c r="F112" s="22"/>
      <c r="G112" s="22"/>
      <c r="H112" s="22"/>
      <c r="I112" s="22"/>
      <c r="J112" s="22"/>
      <c r="K112" s="22"/>
      <c r="L112" s="81">
        <f t="shared" si="14"/>
        <v>0</v>
      </c>
      <c r="M112" s="81">
        <f t="shared" si="15"/>
        <v>0</v>
      </c>
      <c r="N112" s="81">
        <f>I112-H112</f>
        <v>0</v>
      </c>
      <c r="O112" s="81"/>
      <c r="P112" s="81">
        <f>L112+M112+N112</f>
        <v>0</v>
      </c>
      <c r="Q112" s="22"/>
    </row>
    <row r="113" spans="1:17" x14ac:dyDescent="0.25">
      <c r="A113" s="4">
        <v>112</v>
      </c>
      <c r="B113" s="6" t="s">
        <v>345</v>
      </c>
      <c r="C113" s="78">
        <v>44713</v>
      </c>
      <c r="D113" s="26"/>
      <c r="E113" s="26"/>
      <c r="F113" s="22"/>
      <c r="G113" s="22"/>
      <c r="H113" s="22"/>
      <c r="I113" s="22"/>
      <c r="J113" s="22"/>
      <c r="K113" s="22"/>
      <c r="L113" s="81">
        <f t="shared" si="14"/>
        <v>0</v>
      </c>
      <c r="M113" s="81">
        <f t="shared" si="15"/>
        <v>0</v>
      </c>
      <c r="N113" s="81">
        <f t="shared" si="12"/>
        <v>0</v>
      </c>
      <c r="O113" s="81"/>
      <c r="P113" s="81">
        <f t="shared" si="13"/>
        <v>0</v>
      </c>
      <c r="Q113" s="22"/>
    </row>
    <row r="114" spans="1:17" x14ac:dyDescent="0.25">
      <c r="A114" s="4">
        <v>114</v>
      </c>
      <c r="B114" s="6" t="s">
        <v>284</v>
      </c>
      <c r="C114" s="74">
        <v>43983</v>
      </c>
      <c r="D114" s="26">
        <v>44713</v>
      </c>
      <c r="E114" s="26">
        <v>44713</v>
      </c>
      <c r="F114" s="22"/>
      <c r="G114" s="22"/>
      <c r="H114" s="22"/>
      <c r="I114" s="22"/>
      <c r="J114" s="22"/>
      <c r="K114" s="22"/>
      <c r="L114" s="81">
        <f t="shared" si="14"/>
        <v>0</v>
      </c>
      <c r="M114" s="81">
        <f t="shared" si="15"/>
        <v>0</v>
      </c>
      <c r="N114" s="81">
        <f t="shared" si="12"/>
        <v>0</v>
      </c>
      <c r="O114" s="81"/>
      <c r="P114" s="81">
        <f t="shared" si="13"/>
        <v>0</v>
      </c>
      <c r="Q114" s="22"/>
    </row>
    <row r="115" spans="1:17" x14ac:dyDescent="0.25">
      <c r="A115" s="4">
        <v>115</v>
      </c>
      <c r="B115" s="6" t="s">
        <v>686</v>
      </c>
      <c r="C115" s="74">
        <v>42856</v>
      </c>
      <c r="D115" s="26">
        <v>44652</v>
      </c>
      <c r="E115" s="26">
        <v>44713</v>
      </c>
      <c r="F115" s="22"/>
      <c r="G115" s="22"/>
      <c r="H115" s="22"/>
      <c r="I115" s="22"/>
      <c r="J115" s="22"/>
      <c r="K115" s="22"/>
      <c r="L115" s="81">
        <f t="shared" si="14"/>
        <v>61</v>
      </c>
      <c r="M115" s="81">
        <f t="shared" si="15"/>
        <v>0</v>
      </c>
      <c r="N115" s="81">
        <f t="shared" si="12"/>
        <v>0</v>
      </c>
      <c r="O115" s="81"/>
      <c r="P115" s="81">
        <f t="shared" si="13"/>
        <v>61</v>
      </c>
      <c r="Q115" s="22"/>
    </row>
    <row r="116" spans="1:17" x14ac:dyDescent="0.25">
      <c r="A116" s="4">
        <v>116</v>
      </c>
      <c r="B116" s="6" t="s">
        <v>185</v>
      </c>
      <c r="C116" s="74">
        <v>41609</v>
      </c>
      <c r="D116" s="22"/>
      <c r="E116" s="22"/>
      <c r="F116" s="22"/>
      <c r="G116" s="22"/>
      <c r="H116" s="22"/>
      <c r="I116" s="22"/>
      <c r="J116" s="22"/>
      <c r="K116" s="22"/>
      <c r="L116" s="81">
        <f t="shared" si="14"/>
        <v>0</v>
      </c>
      <c r="M116" s="81">
        <f t="shared" si="15"/>
        <v>0</v>
      </c>
      <c r="N116" s="81">
        <f t="shared" si="12"/>
        <v>0</v>
      </c>
      <c r="O116" s="81"/>
      <c r="P116" s="81">
        <f t="shared" si="13"/>
        <v>0</v>
      </c>
      <c r="Q116" s="22"/>
    </row>
    <row r="117" spans="1:17" x14ac:dyDescent="0.25">
      <c r="A117" s="4">
        <v>117</v>
      </c>
      <c r="B117" s="6" t="s">
        <v>44</v>
      </c>
      <c r="C117" s="74">
        <v>39083</v>
      </c>
      <c r="D117" s="26">
        <v>44838</v>
      </c>
      <c r="E117" s="26">
        <v>44906</v>
      </c>
      <c r="F117" s="22"/>
      <c r="G117" s="22"/>
      <c r="H117" s="22"/>
      <c r="I117" s="22"/>
      <c r="J117" s="22"/>
      <c r="K117" s="22"/>
      <c r="L117" s="81">
        <f t="shared" si="14"/>
        <v>68</v>
      </c>
      <c r="M117" s="81">
        <f t="shared" si="15"/>
        <v>0</v>
      </c>
      <c r="N117" s="81">
        <f t="shared" ref="N117:N137" si="16">I117-H117</f>
        <v>0</v>
      </c>
      <c r="O117" s="81"/>
      <c r="P117" s="81">
        <f t="shared" ref="P117:P137" si="17">L117+M117+N117</f>
        <v>68</v>
      </c>
      <c r="Q117" s="22"/>
    </row>
    <row r="118" spans="1:17" x14ac:dyDescent="0.25">
      <c r="A118" s="4">
        <v>118</v>
      </c>
      <c r="B118" s="6" t="s">
        <v>46</v>
      </c>
      <c r="C118" s="74">
        <v>39083</v>
      </c>
      <c r="D118" s="26"/>
      <c r="E118" s="26"/>
      <c r="F118" s="22"/>
      <c r="G118" s="22"/>
      <c r="H118" s="22"/>
      <c r="I118" s="22"/>
      <c r="J118" s="22"/>
      <c r="K118" s="22"/>
      <c r="L118" s="81">
        <f t="shared" si="14"/>
        <v>0</v>
      </c>
      <c r="M118" s="81">
        <f t="shared" si="15"/>
        <v>0</v>
      </c>
      <c r="N118" s="81">
        <f t="shared" si="16"/>
        <v>0</v>
      </c>
      <c r="O118" s="81"/>
      <c r="P118" s="81">
        <f t="shared" si="17"/>
        <v>0</v>
      </c>
      <c r="Q118" s="22"/>
    </row>
    <row r="119" spans="1:17" x14ac:dyDescent="0.25">
      <c r="A119" s="4">
        <v>119</v>
      </c>
      <c r="B119" s="6" t="s">
        <v>49</v>
      </c>
      <c r="C119" s="74">
        <v>39326</v>
      </c>
      <c r="D119" s="26">
        <v>44710</v>
      </c>
      <c r="E119" s="26">
        <v>44809</v>
      </c>
      <c r="F119" s="22"/>
      <c r="G119" s="22"/>
      <c r="H119" s="22"/>
      <c r="I119" s="22"/>
      <c r="J119" s="22"/>
      <c r="K119" s="22"/>
      <c r="L119" s="81">
        <f t="shared" si="14"/>
        <v>99</v>
      </c>
      <c r="M119" s="81">
        <f t="shared" si="15"/>
        <v>0</v>
      </c>
      <c r="N119" s="81">
        <f t="shared" si="16"/>
        <v>0</v>
      </c>
      <c r="O119" s="81"/>
      <c r="P119" s="81">
        <f t="shared" si="17"/>
        <v>99</v>
      </c>
      <c r="Q119" s="22"/>
    </row>
    <row r="120" spans="1:17" x14ac:dyDescent="0.25">
      <c r="A120" s="4">
        <v>120</v>
      </c>
      <c r="B120" s="6" t="s">
        <v>51</v>
      </c>
      <c r="C120" s="74">
        <v>39783</v>
      </c>
      <c r="D120" s="26">
        <v>44696</v>
      </c>
      <c r="E120" s="26">
        <v>44732</v>
      </c>
      <c r="F120" s="22"/>
      <c r="G120" s="22"/>
      <c r="H120" s="22"/>
      <c r="I120" s="22"/>
      <c r="J120" s="22"/>
      <c r="K120" s="22"/>
      <c r="L120" s="81">
        <f t="shared" si="14"/>
        <v>36</v>
      </c>
      <c r="M120" s="81">
        <f t="shared" si="15"/>
        <v>0</v>
      </c>
      <c r="N120" s="81">
        <f t="shared" si="16"/>
        <v>0</v>
      </c>
      <c r="O120" s="81"/>
      <c r="P120" s="81">
        <f t="shared" si="17"/>
        <v>36</v>
      </c>
      <c r="Q120" s="22"/>
    </row>
    <row r="121" spans="1:17" x14ac:dyDescent="0.25">
      <c r="A121" s="4">
        <v>121</v>
      </c>
      <c r="B121" s="6" t="s">
        <v>54</v>
      </c>
      <c r="C121" s="74">
        <v>40695</v>
      </c>
      <c r="D121" s="26"/>
      <c r="E121" s="26"/>
      <c r="F121" s="22"/>
      <c r="G121" s="22"/>
      <c r="H121" s="22"/>
      <c r="I121" s="22"/>
      <c r="J121" s="22"/>
      <c r="K121" s="22"/>
      <c r="L121" s="81">
        <f t="shared" si="14"/>
        <v>0</v>
      </c>
      <c r="M121" s="81">
        <f t="shared" si="15"/>
        <v>0</v>
      </c>
      <c r="N121" s="81">
        <f t="shared" si="16"/>
        <v>0</v>
      </c>
      <c r="O121" s="81"/>
      <c r="P121" s="81">
        <f t="shared" si="17"/>
        <v>0</v>
      </c>
      <c r="Q121" s="22"/>
    </row>
    <row r="122" spans="1:17" x14ac:dyDescent="0.25">
      <c r="A122" s="4">
        <v>122</v>
      </c>
      <c r="B122" s="6" t="s">
        <v>186</v>
      </c>
      <c r="C122" s="74">
        <v>41791</v>
      </c>
      <c r="D122" s="26">
        <v>44568</v>
      </c>
      <c r="E122" s="26">
        <v>44652</v>
      </c>
      <c r="F122" s="22"/>
      <c r="G122" s="22"/>
      <c r="H122" s="22"/>
      <c r="I122" s="22"/>
      <c r="J122" s="22"/>
      <c r="K122" s="22"/>
      <c r="L122" s="81">
        <f t="shared" si="14"/>
        <v>84</v>
      </c>
      <c r="M122" s="81">
        <f t="shared" si="15"/>
        <v>0</v>
      </c>
      <c r="N122" s="81">
        <f t="shared" si="16"/>
        <v>0</v>
      </c>
      <c r="O122" s="81"/>
      <c r="P122" s="81">
        <f t="shared" si="17"/>
        <v>84</v>
      </c>
      <c r="Q122" s="22"/>
    </row>
    <row r="123" spans="1:17" x14ac:dyDescent="0.25">
      <c r="A123" s="4">
        <v>123</v>
      </c>
      <c r="B123" s="6" t="s">
        <v>188</v>
      </c>
      <c r="C123" s="74">
        <v>41852</v>
      </c>
      <c r="D123" s="26"/>
      <c r="E123" s="26"/>
      <c r="F123" s="22"/>
      <c r="G123" s="22"/>
      <c r="H123" s="22"/>
      <c r="I123" s="22"/>
      <c r="J123" s="22"/>
      <c r="K123" s="22"/>
      <c r="L123" s="81">
        <f t="shared" si="14"/>
        <v>0</v>
      </c>
      <c r="M123" s="81">
        <f t="shared" si="15"/>
        <v>0</v>
      </c>
      <c r="N123" s="81">
        <f t="shared" si="16"/>
        <v>0</v>
      </c>
      <c r="O123" s="81"/>
      <c r="P123" s="81">
        <f t="shared" si="17"/>
        <v>0</v>
      </c>
      <c r="Q123" s="22"/>
    </row>
    <row r="124" spans="1:17" x14ac:dyDescent="0.25">
      <c r="A124" s="4">
        <v>124</v>
      </c>
      <c r="B124" s="6" t="s">
        <v>203</v>
      </c>
      <c r="C124" s="74">
        <v>42156</v>
      </c>
      <c r="D124" s="26"/>
      <c r="E124" s="26"/>
      <c r="F124" s="22"/>
      <c r="G124" s="22"/>
      <c r="H124" s="22"/>
      <c r="I124" s="22"/>
      <c r="J124" s="22"/>
      <c r="K124" s="22"/>
      <c r="L124" s="81">
        <f t="shared" si="14"/>
        <v>0</v>
      </c>
      <c r="M124" s="81">
        <f t="shared" si="15"/>
        <v>0</v>
      </c>
      <c r="N124" s="81">
        <f t="shared" si="16"/>
        <v>0</v>
      </c>
      <c r="O124" s="81"/>
      <c r="P124" s="81">
        <f t="shared" si="17"/>
        <v>0</v>
      </c>
      <c r="Q124" s="22"/>
    </row>
    <row r="125" spans="1:17" x14ac:dyDescent="0.25">
      <c r="A125" s="4">
        <v>125</v>
      </c>
      <c r="B125" s="6" t="s">
        <v>204</v>
      </c>
      <c r="C125" s="74">
        <v>42140</v>
      </c>
      <c r="D125" s="26"/>
      <c r="E125" s="26"/>
      <c r="F125" s="22"/>
      <c r="G125" s="22"/>
      <c r="H125" s="22"/>
      <c r="I125" s="22"/>
      <c r="J125" s="22"/>
      <c r="K125" s="22"/>
      <c r="L125" s="81">
        <f t="shared" si="14"/>
        <v>0</v>
      </c>
      <c r="M125" s="81">
        <f t="shared" si="15"/>
        <v>0</v>
      </c>
      <c r="N125" s="81">
        <f t="shared" si="16"/>
        <v>0</v>
      </c>
      <c r="O125" s="81"/>
      <c r="P125" s="81">
        <f t="shared" si="17"/>
        <v>0</v>
      </c>
      <c r="Q125" s="22"/>
    </row>
    <row r="126" spans="1:17" x14ac:dyDescent="0.25">
      <c r="A126" s="4">
        <v>126</v>
      </c>
      <c r="B126" s="6" t="s">
        <v>249</v>
      </c>
      <c r="C126" s="78">
        <v>43040</v>
      </c>
      <c r="D126" s="26"/>
      <c r="E126" s="26"/>
      <c r="F126" s="22"/>
      <c r="G126" s="22"/>
      <c r="H126" s="22"/>
      <c r="I126" s="22"/>
      <c r="J126" s="22"/>
      <c r="K126" s="22"/>
      <c r="L126" s="81">
        <f t="shared" si="14"/>
        <v>0</v>
      </c>
      <c r="M126" s="81">
        <f t="shared" si="15"/>
        <v>0</v>
      </c>
      <c r="N126" s="81">
        <f t="shared" si="16"/>
        <v>0</v>
      </c>
      <c r="O126" s="81"/>
      <c r="P126" s="81">
        <f t="shared" si="17"/>
        <v>0</v>
      </c>
      <c r="Q126" s="22"/>
    </row>
    <row r="127" spans="1:17" x14ac:dyDescent="0.25">
      <c r="A127" s="4">
        <v>127</v>
      </c>
      <c r="B127" s="41" t="s">
        <v>312</v>
      </c>
      <c r="C127" s="76">
        <v>44256</v>
      </c>
      <c r="D127" s="22"/>
      <c r="E127" s="22"/>
      <c r="F127" s="22"/>
      <c r="G127" s="22"/>
      <c r="H127" s="22"/>
      <c r="I127" s="22"/>
      <c r="J127" s="22"/>
      <c r="K127" s="22"/>
      <c r="L127" s="81">
        <f t="shared" si="14"/>
        <v>0</v>
      </c>
      <c r="M127" s="81">
        <f t="shared" si="15"/>
        <v>0</v>
      </c>
      <c r="N127" s="81">
        <f t="shared" si="16"/>
        <v>0</v>
      </c>
      <c r="O127" s="81"/>
      <c r="P127" s="81">
        <f t="shared" si="17"/>
        <v>0</v>
      </c>
      <c r="Q127" s="22"/>
    </row>
    <row r="128" spans="1:17" x14ac:dyDescent="0.25">
      <c r="A128" s="4">
        <v>128</v>
      </c>
      <c r="B128" s="41" t="s">
        <v>313</v>
      </c>
      <c r="C128" s="76">
        <v>44348</v>
      </c>
      <c r="D128" s="22"/>
      <c r="E128" s="22"/>
      <c r="F128" s="22"/>
      <c r="G128" s="22"/>
      <c r="H128" s="22"/>
      <c r="I128" s="22"/>
      <c r="J128" s="22"/>
      <c r="K128" s="22"/>
      <c r="L128" s="81">
        <f t="shared" si="14"/>
        <v>0</v>
      </c>
      <c r="M128" s="81">
        <f t="shared" si="15"/>
        <v>0</v>
      </c>
      <c r="N128" s="81">
        <f t="shared" si="16"/>
        <v>0</v>
      </c>
      <c r="O128" s="81"/>
      <c r="P128" s="81">
        <f t="shared" si="17"/>
        <v>0</v>
      </c>
      <c r="Q128" s="22"/>
    </row>
    <row r="129" spans="1:17" x14ac:dyDescent="0.25">
      <c r="A129" s="4">
        <v>129</v>
      </c>
      <c r="B129" s="41" t="s">
        <v>53</v>
      </c>
      <c r="C129" s="76">
        <v>44470</v>
      </c>
      <c r="D129" s="22"/>
      <c r="E129" s="22"/>
      <c r="F129" s="22"/>
      <c r="G129" s="22"/>
      <c r="H129" s="22"/>
      <c r="I129" s="22"/>
      <c r="J129" s="22"/>
      <c r="K129" s="22"/>
      <c r="L129" s="81">
        <f t="shared" si="14"/>
        <v>0</v>
      </c>
      <c r="M129" s="81">
        <f t="shared" si="15"/>
        <v>0</v>
      </c>
      <c r="N129" s="81">
        <f t="shared" si="16"/>
        <v>0</v>
      </c>
      <c r="O129" s="81"/>
      <c r="P129" s="81">
        <f t="shared" si="17"/>
        <v>0</v>
      </c>
      <c r="Q129" s="22"/>
    </row>
    <row r="130" spans="1:17" x14ac:dyDescent="0.25">
      <c r="A130" s="4">
        <v>130</v>
      </c>
      <c r="B130" s="41" t="s">
        <v>319</v>
      </c>
      <c r="C130" s="76">
        <v>44470</v>
      </c>
      <c r="D130" s="22"/>
      <c r="E130" s="22"/>
      <c r="F130" s="22"/>
      <c r="G130" s="22"/>
      <c r="H130" s="22"/>
      <c r="I130" s="22"/>
      <c r="J130" s="22"/>
      <c r="K130" s="22"/>
      <c r="L130" s="81">
        <f t="shared" ref="L130:L137" si="18">E130-D130</f>
        <v>0</v>
      </c>
      <c r="M130" s="81">
        <f t="shared" ref="M130:M137" si="19">G130-F130</f>
        <v>0</v>
      </c>
      <c r="N130" s="81">
        <f t="shared" si="16"/>
        <v>0</v>
      </c>
      <c r="O130" s="81"/>
      <c r="P130" s="81">
        <f t="shared" si="17"/>
        <v>0</v>
      </c>
      <c r="Q130" s="22"/>
    </row>
    <row r="131" spans="1:17" x14ac:dyDescent="0.25">
      <c r="A131" s="4">
        <v>131</v>
      </c>
      <c r="B131" s="41" t="s">
        <v>346</v>
      </c>
      <c r="C131" s="76">
        <v>44713</v>
      </c>
      <c r="D131" s="22"/>
      <c r="E131" s="22"/>
      <c r="F131" s="22"/>
      <c r="G131" s="22"/>
      <c r="H131" s="22"/>
      <c r="I131" s="22"/>
      <c r="J131" s="22"/>
      <c r="K131" s="22"/>
      <c r="L131" s="81">
        <f t="shared" si="18"/>
        <v>0</v>
      </c>
      <c r="M131" s="81">
        <f t="shared" si="19"/>
        <v>0</v>
      </c>
      <c r="N131" s="81">
        <f t="shared" si="16"/>
        <v>0</v>
      </c>
      <c r="O131" s="81"/>
      <c r="P131" s="81">
        <f t="shared" si="17"/>
        <v>0</v>
      </c>
      <c r="Q131" s="22"/>
    </row>
    <row r="132" spans="1:17" x14ac:dyDescent="0.25">
      <c r="A132" s="4">
        <v>132</v>
      </c>
      <c r="B132" s="41" t="s">
        <v>348</v>
      </c>
      <c r="C132" s="76">
        <v>44746</v>
      </c>
      <c r="D132" s="26"/>
      <c r="E132" s="22"/>
      <c r="F132" s="22"/>
      <c r="G132" s="22"/>
      <c r="H132" s="22"/>
      <c r="I132" s="22"/>
      <c r="J132" s="22"/>
      <c r="K132" s="22"/>
      <c r="L132" s="81">
        <f t="shared" si="18"/>
        <v>0</v>
      </c>
      <c r="M132" s="81">
        <f t="shared" si="19"/>
        <v>0</v>
      </c>
      <c r="N132" s="81">
        <f t="shared" si="16"/>
        <v>0</v>
      </c>
      <c r="O132" s="81"/>
      <c r="P132" s="81">
        <f t="shared" si="17"/>
        <v>0</v>
      </c>
      <c r="Q132" s="22"/>
    </row>
    <row r="133" spans="1:17" x14ac:dyDescent="0.25">
      <c r="A133" s="4">
        <v>133</v>
      </c>
      <c r="B133" s="41" t="s">
        <v>349</v>
      </c>
      <c r="C133" s="76">
        <v>44734</v>
      </c>
      <c r="D133" s="32"/>
      <c r="E133" s="26"/>
      <c r="F133" s="26"/>
      <c r="G133" s="26"/>
      <c r="H133" s="26"/>
      <c r="I133" s="26"/>
      <c r="J133" s="26"/>
      <c r="K133" s="26"/>
      <c r="L133" s="81">
        <f t="shared" si="18"/>
        <v>0</v>
      </c>
      <c r="M133" s="81">
        <f t="shared" si="19"/>
        <v>0</v>
      </c>
      <c r="N133" s="81">
        <f t="shared" si="16"/>
        <v>0</v>
      </c>
      <c r="O133" s="81"/>
      <c r="P133" s="81">
        <f t="shared" si="17"/>
        <v>0</v>
      </c>
      <c r="Q133" s="22"/>
    </row>
    <row r="134" spans="1:17" x14ac:dyDescent="0.25">
      <c r="A134" s="4">
        <v>134</v>
      </c>
      <c r="B134" s="41" t="s">
        <v>350</v>
      </c>
      <c r="C134" s="76">
        <v>44762</v>
      </c>
      <c r="D134" s="32"/>
      <c r="E134" s="26"/>
      <c r="F134" s="26"/>
      <c r="G134" s="26"/>
      <c r="H134" s="26"/>
      <c r="I134" s="26"/>
      <c r="J134" s="26"/>
      <c r="K134" s="26"/>
      <c r="L134" s="81">
        <f t="shared" si="18"/>
        <v>0</v>
      </c>
      <c r="M134" s="81">
        <f t="shared" si="19"/>
        <v>0</v>
      </c>
      <c r="N134" s="81">
        <f t="shared" si="16"/>
        <v>0</v>
      </c>
      <c r="O134" s="81"/>
      <c r="P134" s="81">
        <f t="shared" si="17"/>
        <v>0</v>
      </c>
      <c r="Q134" s="22"/>
    </row>
    <row r="135" spans="1:17" x14ac:dyDescent="0.25">
      <c r="A135" s="4">
        <v>135</v>
      </c>
      <c r="B135" s="41" t="s">
        <v>136</v>
      </c>
      <c r="C135" s="76">
        <v>44805</v>
      </c>
      <c r="D135" s="32"/>
      <c r="E135" s="26"/>
      <c r="F135" s="26"/>
      <c r="G135" s="26"/>
      <c r="H135" s="26"/>
      <c r="I135" s="26"/>
      <c r="J135" s="26"/>
      <c r="K135" s="26"/>
      <c r="L135" s="81">
        <f t="shared" si="18"/>
        <v>0</v>
      </c>
      <c r="M135" s="81">
        <f t="shared" si="19"/>
        <v>0</v>
      </c>
      <c r="N135" s="81">
        <f t="shared" si="16"/>
        <v>0</v>
      </c>
      <c r="O135" s="81"/>
      <c r="P135" s="81">
        <f t="shared" si="17"/>
        <v>0</v>
      </c>
      <c r="Q135" s="22"/>
    </row>
    <row r="136" spans="1:17" x14ac:dyDescent="0.25">
      <c r="A136" s="4">
        <v>136</v>
      </c>
      <c r="B136" s="41" t="s">
        <v>184</v>
      </c>
      <c r="C136" s="76">
        <v>44817</v>
      </c>
      <c r="D136" s="32"/>
      <c r="E136" s="26"/>
      <c r="F136" s="26"/>
      <c r="G136" s="26"/>
      <c r="H136" s="26"/>
      <c r="I136" s="26"/>
      <c r="J136" s="26"/>
      <c r="K136" s="26"/>
      <c r="L136" s="81">
        <f t="shared" si="18"/>
        <v>0</v>
      </c>
      <c r="M136" s="81">
        <f t="shared" si="19"/>
        <v>0</v>
      </c>
      <c r="N136" s="81">
        <f t="shared" si="16"/>
        <v>0</v>
      </c>
      <c r="O136" s="81"/>
      <c r="P136" s="81">
        <f t="shared" si="17"/>
        <v>0</v>
      </c>
      <c r="Q136" s="22"/>
    </row>
    <row r="137" spans="1:17" x14ac:dyDescent="0.25">
      <c r="A137" s="4">
        <v>137</v>
      </c>
      <c r="B137" s="41" t="s">
        <v>351</v>
      </c>
      <c r="C137" s="76">
        <v>44513</v>
      </c>
      <c r="D137" s="32"/>
      <c r="E137" s="26"/>
      <c r="F137" s="26"/>
      <c r="G137" s="26"/>
      <c r="H137" s="26"/>
      <c r="I137" s="26"/>
      <c r="J137" s="26"/>
      <c r="K137" s="26"/>
      <c r="L137" s="81">
        <f t="shared" si="18"/>
        <v>0</v>
      </c>
      <c r="M137" s="81">
        <f t="shared" si="19"/>
        <v>0</v>
      </c>
      <c r="N137" s="81">
        <f t="shared" si="16"/>
        <v>0</v>
      </c>
      <c r="O137" s="81"/>
      <c r="P137" s="81">
        <f t="shared" si="17"/>
        <v>0</v>
      </c>
      <c r="Q137" s="22"/>
    </row>
    <row r="140" spans="1:17" x14ac:dyDescent="0.25">
      <c r="A140" s="4">
        <v>26</v>
      </c>
      <c r="B140" s="6" t="s">
        <v>197</v>
      </c>
      <c r="C140" s="76">
        <v>42064</v>
      </c>
      <c r="D140" s="26"/>
      <c r="E140" s="26"/>
      <c r="F140" s="22"/>
      <c r="G140" s="22"/>
      <c r="H140" s="22"/>
      <c r="I140" s="22"/>
      <c r="J140" s="22"/>
      <c r="K140" s="22"/>
      <c r="L140" s="81">
        <f>E140-D140</f>
        <v>0</v>
      </c>
      <c r="M140" s="81">
        <f>G140-F140</f>
        <v>0</v>
      </c>
      <c r="N140" s="81">
        <f>I140-H140</f>
        <v>0</v>
      </c>
      <c r="O140" s="81"/>
      <c r="P140" s="81">
        <f>L140+M140+N140</f>
        <v>0</v>
      </c>
      <c r="Q140" s="22"/>
    </row>
    <row r="141" spans="1:17" x14ac:dyDescent="0.25">
      <c r="A141" s="4">
        <v>50</v>
      </c>
      <c r="B141" s="22" t="s">
        <v>260</v>
      </c>
      <c r="C141" s="75">
        <v>43405</v>
      </c>
      <c r="D141" s="22"/>
      <c r="E141" s="22"/>
      <c r="F141" s="22"/>
      <c r="G141" s="22"/>
      <c r="H141" s="22"/>
      <c r="I141" s="22"/>
      <c r="J141" s="22"/>
      <c r="K141" s="22"/>
      <c r="L141" s="81">
        <f>E141-D141</f>
        <v>0</v>
      </c>
      <c r="M141" s="81">
        <f>G141-F141</f>
        <v>0</v>
      </c>
      <c r="N141" s="81">
        <f>I141-H141</f>
        <v>0</v>
      </c>
      <c r="O141" s="81"/>
      <c r="P141" s="81">
        <f>L141+M141+N141</f>
        <v>0</v>
      </c>
      <c r="Q141" s="22"/>
    </row>
    <row r="142" spans="1:17" x14ac:dyDescent="0.25">
      <c r="A142" s="4">
        <v>71</v>
      </c>
      <c r="B142" s="6" t="s">
        <v>266</v>
      </c>
      <c r="C142" s="74">
        <v>43617</v>
      </c>
      <c r="D142" s="26"/>
      <c r="E142" s="26"/>
      <c r="F142" s="22"/>
      <c r="G142" s="22"/>
      <c r="H142" s="22"/>
      <c r="I142" s="22"/>
      <c r="J142" s="22"/>
      <c r="K142" s="22"/>
      <c r="L142" s="81">
        <f>E142-D142</f>
        <v>0</v>
      </c>
      <c r="M142" s="81">
        <f>G142-F142</f>
        <v>0</v>
      </c>
      <c r="N142" s="81">
        <f>I142-H142</f>
        <v>0</v>
      </c>
      <c r="O142" s="81"/>
      <c r="P142" s="81">
        <f>L142+M142+N142</f>
        <v>0</v>
      </c>
      <c r="Q142" s="22"/>
    </row>
  </sheetData>
  <mergeCells count="4">
    <mergeCell ref="D1:E1"/>
    <mergeCell ref="F1:G1"/>
    <mergeCell ref="H1:I1"/>
    <mergeCell ref="J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4"/>
  <sheetViews>
    <sheetView workbookViewId="0">
      <selection activeCell="D17" sqref="D17:E17"/>
    </sheetView>
  </sheetViews>
  <sheetFormatPr defaultRowHeight="15" x14ac:dyDescent="0.25"/>
  <cols>
    <col min="1" max="1" width="5.42578125" bestFit="1" customWidth="1"/>
    <col min="2" max="2" width="34.5703125" customWidth="1"/>
    <col min="3" max="3" width="8.85546875" customWidth="1"/>
    <col min="4" max="4" width="12.28515625" customWidth="1"/>
    <col min="5" max="5" width="12" customWidth="1"/>
    <col min="6" max="6" width="18.85546875" customWidth="1"/>
    <col min="7" max="7" width="4.7109375" hidden="1" customWidth="1"/>
    <col min="8" max="8" width="8.28515625" customWidth="1"/>
    <col min="9" max="9" width="10.28515625" customWidth="1"/>
    <col min="10" max="10" width="4.7109375" customWidth="1"/>
    <col min="11" max="11" width="4" bestFit="1" customWidth="1"/>
    <col min="12" max="12" width="3.85546875" customWidth="1"/>
    <col min="13" max="13" width="7.42578125" customWidth="1"/>
    <col min="14" max="14" width="11.5703125" customWidth="1"/>
    <col min="15" max="15" width="15.5703125" customWidth="1"/>
    <col min="16" max="16" width="15" customWidth="1"/>
  </cols>
  <sheetData>
    <row r="1" spans="1:14" x14ac:dyDescent="0.25">
      <c r="A1" s="3" t="s">
        <v>130</v>
      </c>
      <c r="B1" s="9" t="s">
        <v>126</v>
      </c>
      <c r="C1" s="9" t="s">
        <v>131</v>
      </c>
      <c r="D1" s="150" t="s">
        <v>127</v>
      </c>
      <c r="E1" s="150"/>
      <c r="F1" s="150" t="s">
        <v>128</v>
      </c>
      <c r="G1" s="150"/>
      <c r="H1" s="150" t="s">
        <v>215</v>
      </c>
      <c r="I1" s="150"/>
      <c r="J1" s="22">
        <v>1</v>
      </c>
      <c r="K1" s="22">
        <v>2</v>
      </c>
      <c r="L1" s="22">
        <v>3</v>
      </c>
      <c r="M1" s="22" t="s">
        <v>72</v>
      </c>
      <c r="N1" s="51"/>
    </row>
    <row r="2" spans="1:14" x14ac:dyDescent="0.25">
      <c r="A2" s="4">
        <v>1</v>
      </c>
      <c r="B2" s="6" t="s">
        <v>1</v>
      </c>
      <c r="C2" s="32">
        <v>39295</v>
      </c>
      <c r="D2" s="30">
        <v>44498</v>
      </c>
      <c r="E2" s="30">
        <v>44519</v>
      </c>
      <c r="F2" s="26"/>
      <c r="G2" s="26"/>
      <c r="H2" s="26"/>
      <c r="I2" s="26"/>
      <c r="J2" s="22">
        <f>E2-D2</f>
        <v>21</v>
      </c>
      <c r="K2" s="22">
        <f>G2-F2</f>
        <v>0</v>
      </c>
      <c r="L2" s="22">
        <f>I2-H2</f>
        <v>0</v>
      </c>
      <c r="M2" s="22">
        <f>J2+K2+L2</f>
        <v>21</v>
      </c>
      <c r="N2" s="22"/>
    </row>
    <row r="3" spans="1:14" x14ac:dyDescent="0.25">
      <c r="A3" s="4">
        <v>2</v>
      </c>
      <c r="B3" s="6" t="s">
        <v>179</v>
      </c>
      <c r="C3" s="32">
        <v>41883</v>
      </c>
      <c r="D3" s="26">
        <v>44245</v>
      </c>
      <c r="E3" s="26">
        <v>44276</v>
      </c>
      <c r="F3" s="62"/>
      <c r="G3" s="62"/>
      <c r="H3" s="22"/>
      <c r="I3" s="22"/>
      <c r="J3" s="22">
        <f t="shared" ref="J3:J57" si="0">E3-D3</f>
        <v>31</v>
      </c>
      <c r="K3" s="22">
        <f t="shared" ref="K3:K57" si="1">G3-F3</f>
        <v>0</v>
      </c>
      <c r="L3" s="22">
        <f t="shared" ref="L3:L57" si="2">I3-H3</f>
        <v>0</v>
      </c>
      <c r="M3" s="22">
        <f t="shared" ref="M3:M57" si="3">J3+K3+L3</f>
        <v>31</v>
      </c>
      <c r="N3" s="22"/>
    </row>
    <row r="4" spans="1:14" x14ac:dyDescent="0.25">
      <c r="A4" s="4">
        <v>3</v>
      </c>
      <c r="B4" s="6" t="s">
        <v>180</v>
      </c>
      <c r="C4" s="32">
        <v>41883</v>
      </c>
      <c r="D4" s="26">
        <v>44199</v>
      </c>
      <c r="E4" s="26">
        <v>44234</v>
      </c>
      <c r="F4" s="26"/>
      <c r="G4" s="26"/>
      <c r="H4" s="22"/>
      <c r="I4" s="22"/>
      <c r="J4" s="22">
        <f t="shared" si="0"/>
        <v>35</v>
      </c>
      <c r="K4" s="22">
        <f t="shared" si="1"/>
        <v>0</v>
      </c>
      <c r="L4" s="22">
        <f t="shared" si="2"/>
        <v>0</v>
      </c>
      <c r="M4" s="22">
        <f t="shared" si="3"/>
        <v>35</v>
      </c>
      <c r="N4" s="22"/>
    </row>
    <row r="5" spans="1:14" x14ac:dyDescent="0.25">
      <c r="A5" s="4">
        <v>4</v>
      </c>
      <c r="B5" s="6" t="s">
        <v>231</v>
      </c>
      <c r="C5" s="32">
        <v>42736</v>
      </c>
      <c r="D5" s="26">
        <v>44281</v>
      </c>
      <c r="E5" s="26">
        <v>44385</v>
      </c>
      <c r="F5" s="22"/>
      <c r="G5" s="22"/>
      <c r="H5" s="22"/>
      <c r="I5" s="22"/>
      <c r="J5" s="22">
        <f t="shared" si="0"/>
        <v>104</v>
      </c>
      <c r="K5" s="22">
        <f t="shared" si="1"/>
        <v>0</v>
      </c>
      <c r="L5" s="22">
        <f t="shared" si="2"/>
        <v>0</v>
      </c>
      <c r="M5" s="22">
        <f t="shared" si="3"/>
        <v>104</v>
      </c>
      <c r="N5" s="22"/>
    </row>
    <row r="6" spans="1:14" x14ac:dyDescent="0.25">
      <c r="A6" s="4">
        <v>5</v>
      </c>
      <c r="B6" s="6" t="s">
        <v>5</v>
      </c>
      <c r="C6" s="32">
        <v>40695</v>
      </c>
      <c r="D6" s="26">
        <v>44480</v>
      </c>
      <c r="E6" s="26">
        <v>44504</v>
      </c>
      <c r="F6" s="26"/>
      <c r="G6" s="26"/>
      <c r="H6" s="22"/>
      <c r="I6" s="22"/>
      <c r="J6" s="22">
        <f t="shared" si="0"/>
        <v>24</v>
      </c>
      <c r="K6" s="22">
        <f t="shared" si="1"/>
        <v>0</v>
      </c>
      <c r="L6" s="22">
        <f t="shared" si="2"/>
        <v>0</v>
      </c>
      <c r="M6" s="22">
        <f t="shared" si="3"/>
        <v>24</v>
      </c>
      <c r="N6" s="22"/>
    </row>
    <row r="7" spans="1:14" x14ac:dyDescent="0.25">
      <c r="A7" s="4">
        <v>6</v>
      </c>
      <c r="B7" s="6" t="s">
        <v>294</v>
      </c>
      <c r="C7" s="32">
        <v>44317</v>
      </c>
      <c r="D7" s="26">
        <v>44505</v>
      </c>
      <c r="E7" s="26">
        <v>44521</v>
      </c>
      <c r="F7" s="26"/>
      <c r="G7" s="26"/>
      <c r="H7" s="22"/>
      <c r="I7" s="22"/>
      <c r="J7" s="22">
        <f>E7-D7</f>
        <v>16</v>
      </c>
      <c r="K7" s="22">
        <f>G7-F7</f>
        <v>0</v>
      </c>
      <c r="L7" s="22">
        <f>I7-H7</f>
        <v>0</v>
      </c>
      <c r="M7" s="22">
        <f>J7+K7+L7</f>
        <v>16</v>
      </c>
      <c r="N7" s="22"/>
    </row>
    <row r="8" spans="1:14" x14ac:dyDescent="0.25">
      <c r="A8" s="4">
        <v>7</v>
      </c>
      <c r="B8" s="6" t="s">
        <v>314</v>
      </c>
      <c r="C8" s="32">
        <v>44501</v>
      </c>
      <c r="D8" s="26"/>
      <c r="E8" s="26"/>
      <c r="F8" s="26"/>
      <c r="G8" s="26"/>
      <c r="H8" s="22"/>
      <c r="I8" s="22"/>
      <c r="J8" s="22">
        <f>E8-D8</f>
        <v>0</v>
      </c>
      <c r="K8" s="22">
        <f>G8-F8</f>
        <v>0</v>
      </c>
      <c r="L8" s="22">
        <f>I8-H8</f>
        <v>0</v>
      </c>
      <c r="M8" s="22">
        <f>J8+K8+L8</f>
        <v>0</v>
      </c>
      <c r="N8" s="22"/>
    </row>
    <row r="9" spans="1:14" x14ac:dyDescent="0.25">
      <c r="A9" s="4">
        <v>8</v>
      </c>
      <c r="B9" s="6" t="s">
        <v>6</v>
      </c>
      <c r="C9" s="32">
        <v>39083</v>
      </c>
      <c r="D9" s="26"/>
      <c r="E9" s="26"/>
      <c r="F9" s="26"/>
      <c r="G9" s="26"/>
      <c r="H9" s="26"/>
      <c r="I9" s="26"/>
      <c r="J9" s="22">
        <f t="shared" si="0"/>
        <v>0</v>
      </c>
      <c r="K9" s="22">
        <f t="shared" si="1"/>
        <v>0</v>
      </c>
      <c r="L9" s="22">
        <f t="shared" si="2"/>
        <v>0</v>
      </c>
      <c r="M9" s="22">
        <f t="shared" si="3"/>
        <v>0</v>
      </c>
      <c r="N9" s="22"/>
    </row>
    <row r="10" spans="1:14" x14ac:dyDescent="0.25">
      <c r="A10" s="4">
        <v>9</v>
      </c>
      <c r="B10" s="6" t="s">
        <v>10</v>
      </c>
      <c r="C10" s="32">
        <v>39083</v>
      </c>
      <c r="D10" s="26">
        <v>44427</v>
      </c>
      <c r="E10" s="26">
        <v>44443</v>
      </c>
      <c r="F10" s="26"/>
      <c r="G10" s="26"/>
      <c r="H10" s="26"/>
      <c r="I10" s="26"/>
      <c r="J10" s="22">
        <f t="shared" si="0"/>
        <v>16</v>
      </c>
      <c r="K10" s="22">
        <f t="shared" si="1"/>
        <v>0</v>
      </c>
      <c r="L10" s="22">
        <f t="shared" si="2"/>
        <v>0</v>
      </c>
      <c r="M10" s="22">
        <f t="shared" si="3"/>
        <v>16</v>
      </c>
      <c r="N10" s="22"/>
    </row>
    <row r="11" spans="1:14" x14ac:dyDescent="0.25">
      <c r="A11" s="4">
        <v>10</v>
      </c>
      <c r="B11" s="6" t="s">
        <v>11</v>
      </c>
      <c r="C11" s="32">
        <v>39083</v>
      </c>
      <c r="D11" s="26">
        <v>44450</v>
      </c>
      <c r="E11" s="26">
        <v>44478</v>
      </c>
      <c r="F11" s="26"/>
      <c r="G11" s="26"/>
      <c r="H11" s="22"/>
      <c r="I11" s="22"/>
      <c r="J11" s="22">
        <f t="shared" si="0"/>
        <v>28</v>
      </c>
      <c r="K11" s="22">
        <f t="shared" si="1"/>
        <v>0</v>
      </c>
      <c r="L11" s="22">
        <f t="shared" si="2"/>
        <v>0</v>
      </c>
      <c r="M11" s="22">
        <f t="shared" si="3"/>
        <v>28</v>
      </c>
      <c r="N11" s="22"/>
    </row>
    <row r="12" spans="1:14" x14ac:dyDescent="0.25">
      <c r="A12" s="4">
        <v>11</v>
      </c>
      <c r="B12" s="6" t="s">
        <v>12</v>
      </c>
      <c r="C12" s="32">
        <v>39142</v>
      </c>
      <c r="D12" s="26"/>
      <c r="E12" s="26"/>
      <c r="F12" s="22"/>
      <c r="G12" s="22"/>
      <c r="H12" s="22"/>
      <c r="I12" s="22"/>
      <c r="J12" s="22">
        <f t="shared" si="0"/>
        <v>0</v>
      </c>
      <c r="K12" s="22">
        <f t="shared" si="1"/>
        <v>0</v>
      </c>
      <c r="L12" s="22">
        <f t="shared" si="2"/>
        <v>0</v>
      </c>
      <c r="M12" s="22">
        <f t="shared" si="3"/>
        <v>0</v>
      </c>
      <c r="N12" s="22"/>
    </row>
    <row r="13" spans="1:14" ht="16.5" customHeight="1" x14ac:dyDescent="0.25">
      <c r="A13" s="4">
        <v>12</v>
      </c>
      <c r="B13" s="6" t="s">
        <v>192</v>
      </c>
      <c r="C13" s="32">
        <v>42036</v>
      </c>
      <c r="D13" s="26">
        <v>44555</v>
      </c>
      <c r="E13" s="26">
        <v>44561</v>
      </c>
      <c r="F13" s="26"/>
      <c r="G13" s="26"/>
      <c r="H13" s="26"/>
      <c r="I13" s="26"/>
      <c r="J13" s="22">
        <f t="shared" si="0"/>
        <v>6</v>
      </c>
      <c r="K13" s="22">
        <f t="shared" si="1"/>
        <v>0</v>
      </c>
      <c r="L13" s="22">
        <f t="shared" si="2"/>
        <v>0</v>
      </c>
      <c r="M13" s="22">
        <f t="shared" si="3"/>
        <v>6</v>
      </c>
      <c r="N13" s="22"/>
    </row>
    <row r="14" spans="1:14" x14ac:dyDescent="0.25">
      <c r="A14" s="4">
        <v>13</v>
      </c>
      <c r="B14" s="6" t="s">
        <v>256</v>
      </c>
      <c r="C14" s="32">
        <v>43252</v>
      </c>
      <c r="D14" s="26"/>
      <c r="E14" s="26"/>
      <c r="F14" s="26"/>
      <c r="G14" s="26"/>
      <c r="H14" s="22"/>
      <c r="I14" s="22"/>
      <c r="J14" s="22">
        <f t="shared" si="0"/>
        <v>0</v>
      </c>
      <c r="K14" s="22">
        <f t="shared" si="1"/>
        <v>0</v>
      </c>
      <c r="L14" s="22">
        <f t="shared" si="2"/>
        <v>0</v>
      </c>
      <c r="M14" s="22">
        <f t="shared" si="3"/>
        <v>0</v>
      </c>
      <c r="N14" s="22"/>
    </row>
    <row r="15" spans="1:14" x14ac:dyDescent="0.25">
      <c r="A15" s="4">
        <v>14</v>
      </c>
      <c r="B15" s="6" t="s">
        <v>13</v>
      </c>
      <c r="C15" s="32">
        <v>39083</v>
      </c>
      <c r="D15" s="26"/>
      <c r="E15" s="26"/>
      <c r="F15" s="22"/>
      <c r="G15" s="22"/>
      <c r="H15" s="22"/>
      <c r="I15" s="22"/>
      <c r="J15" s="22">
        <f t="shared" si="0"/>
        <v>0</v>
      </c>
      <c r="K15" s="22">
        <f t="shared" si="1"/>
        <v>0</v>
      </c>
      <c r="L15" s="22">
        <f t="shared" si="2"/>
        <v>0</v>
      </c>
      <c r="M15" s="22">
        <f t="shared" si="3"/>
        <v>0</v>
      </c>
      <c r="N15" s="22"/>
    </row>
    <row r="16" spans="1:14" x14ac:dyDescent="0.25">
      <c r="A16" s="4">
        <v>15</v>
      </c>
      <c r="B16" s="6" t="s">
        <v>145</v>
      </c>
      <c r="C16" s="45">
        <v>41334</v>
      </c>
      <c r="D16" s="26"/>
      <c r="E16" s="26"/>
      <c r="F16" s="22"/>
      <c r="G16" s="22"/>
      <c r="H16" s="22"/>
      <c r="I16" s="22"/>
      <c r="J16" s="22">
        <f t="shared" si="0"/>
        <v>0</v>
      </c>
      <c r="K16" s="22">
        <f t="shared" si="1"/>
        <v>0</v>
      </c>
      <c r="L16" s="22">
        <f t="shared" si="2"/>
        <v>0</v>
      </c>
      <c r="M16" s="22">
        <f t="shared" si="3"/>
        <v>0</v>
      </c>
      <c r="N16" s="22"/>
    </row>
    <row r="17" spans="1:16" x14ac:dyDescent="0.25">
      <c r="A17" s="4">
        <v>16</v>
      </c>
      <c r="B17" s="6" t="s">
        <v>21</v>
      </c>
      <c r="C17" s="34">
        <v>40483</v>
      </c>
      <c r="D17" s="26">
        <v>44275</v>
      </c>
      <c r="E17" s="26">
        <v>44304</v>
      </c>
      <c r="F17" s="26"/>
      <c r="G17" s="26"/>
      <c r="H17" s="22"/>
      <c r="I17" s="22"/>
      <c r="J17" s="22">
        <f t="shared" si="0"/>
        <v>29</v>
      </c>
      <c r="K17" s="22">
        <f t="shared" si="1"/>
        <v>0</v>
      </c>
      <c r="L17" s="22">
        <f t="shared" si="2"/>
        <v>0</v>
      </c>
      <c r="M17" s="22">
        <f t="shared" si="3"/>
        <v>29</v>
      </c>
      <c r="N17" s="22"/>
    </row>
    <row r="18" spans="1:16" x14ac:dyDescent="0.25">
      <c r="A18" s="4">
        <v>17</v>
      </c>
      <c r="B18" s="6" t="s">
        <v>16</v>
      </c>
      <c r="C18" s="32">
        <v>40210</v>
      </c>
      <c r="D18" s="26"/>
      <c r="E18" s="26"/>
      <c r="F18" s="26"/>
      <c r="G18" s="26"/>
      <c r="H18" s="22"/>
      <c r="I18" s="22"/>
      <c r="J18" s="22">
        <f t="shared" si="0"/>
        <v>0</v>
      </c>
      <c r="K18" s="22">
        <f t="shared" si="1"/>
        <v>0</v>
      </c>
      <c r="L18" s="22">
        <f t="shared" si="2"/>
        <v>0</v>
      </c>
      <c r="M18" s="22">
        <f t="shared" si="3"/>
        <v>0</v>
      </c>
      <c r="N18" s="22"/>
    </row>
    <row r="19" spans="1:16" x14ac:dyDescent="0.25">
      <c r="A19" s="4">
        <v>18</v>
      </c>
      <c r="B19" s="6" t="s">
        <v>268</v>
      </c>
      <c r="C19" s="34">
        <v>43647</v>
      </c>
      <c r="D19" s="26"/>
      <c r="E19" s="26"/>
      <c r="F19" s="26"/>
      <c r="G19" s="26"/>
      <c r="H19" s="22"/>
      <c r="I19" s="22"/>
      <c r="J19" s="22">
        <f t="shared" si="0"/>
        <v>0</v>
      </c>
      <c r="K19" s="22">
        <f t="shared" si="1"/>
        <v>0</v>
      </c>
      <c r="L19" s="22">
        <f t="shared" si="2"/>
        <v>0</v>
      </c>
      <c r="M19" s="22">
        <f t="shared" si="3"/>
        <v>0</v>
      </c>
      <c r="N19" s="22"/>
    </row>
    <row r="20" spans="1:16" x14ac:dyDescent="0.25">
      <c r="A20" s="4">
        <v>20</v>
      </c>
      <c r="B20" s="6" t="s">
        <v>137</v>
      </c>
      <c r="C20" s="52">
        <v>41244</v>
      </c>
      <c r="D20" s="26">
        <v>44223</v>
      </c>
      <c r="E20" s="26">
        <v>44281</v>
      </c>
      <c r="F20" s="22"/>
      <c r="G20" s="22"/>
      <c r="H20" s="22"/>
      <c r="I20" s="22"/>
      <c r="J20" s="22">
        <f t="shared" si="0"/>
        <v>58</v>
      </c>
      <c r="K20" s="22">
        <f t="shared" si="1"/>
        <v>0</v>
      </c>
      <c r="L20" s="22">
        <f t="shared" si="2"/>
        <v>0</v>
      </c>
      <c r="M20" s="22">
        <f t="shared" si="3"/>
        <v>58</v>
      </c>
      <c r="N20" s="22"/>
    </row>
    <row r="21" spans="1:16" x14ac:dyDescent="0.25">
      <c r="A21" s="4">
        <v>21</v>
      </c>
      <c r="B21" s="6" t="s">
        <v>163</v>
      </c>
      <c r="C21" s="52">
        <v>41518</v>
      </c>
      <c r="D21" s="26"/>
      <c r="E21" s="26"/>
      <c r="F21" s="22"/>
      <c r="G21" s="22"/>
      <c r="H21" s="22"/>
      <c r="I21" s="22"/>
      <c r="J21" s="22">
        <f t="shared" si="0"/>
        <v>0</v>
      </c>
      <c r="K21" s="22">
        <f t="shared" si="1"/>
        <v>0</v>
      </c>
      <c r="L21" s="22">
        <f t="shared" si="2"/>
        <v>0</v>
      </c>
      <c r="M21" s="22">
        <f t="shared" si="3"/>
        <v>0</v>
      </c>
      <c r="N21" s="22"/>
    </row>
    <row r="22" spans="1:16" x14ac:dyDescent="0.25">
      <c r="A22" s="4">
        <v>22</v>
      </c>
      <c r="B22" s="6" t="s">
        <v>182</v>
      </c>
      <c r="C22" s="52">
        <v>41883</v>
      </c>
      <c r="D22" s="26">
        <v>44524</v>
      </c>
      <c r="E22" s="26">
        <v>44561</v>
      </c>
      <c r="F22" s="26"/>
      <c r="G22" s="26"/>
      <c r="H22" s="22"/>
      <c r="I22" s="22"/>
      <c r="J22" s="22">
        <f t="shared" si="0"/>
        <v>37</v>
      </c>
      <c r="K22" s="22">
        <f t="shared" si="1"/>
        <v>0</v>
      </c>
      <c r="L22" s="22">
        <f t="shared" si="2"/>
        <v>0</v>
      </c>
      <c r="M22" s="22">
        <f t="shared" si="3"/>
        <v>37</v>
      </c>
      <c r="N22" s="22"/>
    </row>
    <row r="23" spans="1:16" x14ac:dyDescent="0.25">
      <c r="A23" s="4">
        <v>23</v>
      </c>
      <c r="B23" s="6" t="s">
        <v>183</v>
      </c>
      <c r="C23" s="52">
        <v>41913</v>
      </c>
      <c r="D23" s="26">
        <v>44442</v>
      </c>
      <c r="E23" s="26">
        <v>44544</v>
      </c>
      <c r="F23" s="22"/>
      <c r="G23" s="22"/>
      <c r="H23" s="22"/>
      <c r="I23" s="22"/>
      <c r="J23" s="22">
        <f t="shared" si="0"/>
        <v>102</v>
      </c>
      <c r="K23" s="22">
        <f t="shared" si="1"/>
        <v>0</v>
      </c>
      <c r="L23" s="22">
        <f t="shared" si="2"/>
        <v>0</v>
      </c>
      <c r="M23" s="22">
        <f t="shared" si="3"/>
        <v>102</v>
      </c>
      <c r="N23" s="22"/>
      <c r="O23" s="26">
        <v>44524</v>
      </c>
      <c r="P23" s="26" t="s">
        <v>614</v>
      </c>
    </row>
    <row r="24" spans="1:16" x14ac:dyDescent="0.25">
      <c r="A24" s="4">
        <v>24</v>
      </c>
      <c r="B24" s="6" t="s">
        <v>196</v>
      </c>
      <c r="C24" s="44">
        <v>42005</v>
      </c>
      <c r="D24" s="26"/>
      <c r="E24" s="26"/>
      <c r="F24" s="26"/>
      <c r="G24" s="26"/>
      <c r="H24" s="22"/>
      <c r="I24" s="22"/>
      <c r="J24" s="22">
        <f t="shared" si="0"/>
        <v>0</v>
      </c>
      <c r="K24" s="22">
        <f t="shared" si="1"/>
        <v>0</v>
      </c>
      <c r="L24" s="22">
        <f t="shared" si="2"/>
        <v>0</v>
      </c>
      <c r="M24" s="22">
        <f t="shared" si="3"/>
        <v>0</v>
      </c>
      <c r="N24" s="22"/>
    </row>
    <row r="25" spans="1:16" x14ac:dyDescent="0.25">
      <c r="A25" s="4">
        <v>25</v>
      </c>
      <c r="B25" s="6" t="s">
        <v>206</v>
      </c>
      <c r="C25" s="44">
        <v>42324</v>
      </c>
      <c r="D25" s="26">
        <v>44256</v>
      </c>
      <c r="E25" s="26">
        <v>44432</v>
      </c>
      <c r="F25" s="22"/>
      <c r="G25" s="22"/>
      <c r="H25" s="22"/>
      <c r="I25" s="22"/>
      <c r="J25" s="22">
        <f t="shared" si="0"/>
        <v>176</v>
      </c>
      <c r="K25" s="22">
        <f t="shared" si="1"/>
        <v>0</v>
      </c>
      <c r="L25" s="22">
        <f t="shared" si="2"/>
        <v>0</v>
      </c>
      <c r="M25" s="22">
        <f t="shared" si="3"/>
        <v>176</v>
      </c>
      <c r="N25" s="22"/>
    </row>
    <row r="26" spans="1:16" x14ac:dyDescent="0.25">
      <c r="A26" s="4">
        <v>26</v>
      </c>
      <c r="B26" s="6" t="s">
        <v>172</v>
      </c>
      <c r="C26" s="52">
        <v>41760</v>
      </c>
      <c r="D26" s="26">
        <v>44381</v>
      </c>
      <c r="E26" s="26">
        <v>44442</v>
      </c>
      <c r="F26" s="22"/>
      <c r="G26" s="22"/>
      <c r="H26" s="22"/>
      <c r="I26" s="22"/>
      <c r="J26" s="22">
        <f t="shared" si="0"/>
        <v>61</v>
      </c>
      <c r="K26" s="22">
        <f t="shared" si="1"/>
        <v>0</v>
      </c>
      <c r="L26" s="22">
        <f t="shared" si="2"/>
        <v>0</v>
      </c>
      <c r="M26" s="22">
        <f t="shared" si="3"/>
        <v>61</v>
      </c>
      <c r="N26" s="22"/>
    </row>
    <row r="27" spans="1:16" x14ac:dyDescent="0.25">
      <c r="A27" s="4">
        <v>27</v>
      </c>
      <c r="B27" s="6" t="s">
        <v>174</v>
      </c>
      <c r="C27" s="52">
        <v>41760</v>
      </c>
      <c r="D27" s="26">
        <v>44465</v>
      </c>
      <c r="E27" s="26">
        <v>44531</v>
      </c>
      <c r="F27" s="22"/>
      <c r="G27" s="22"/>
      <c r="H27" s="22"/>
      <c r="I27" s="22"/>
      <c r="J27" s="22">
        <f t="shared" si="0"/>
        <v>66</v>
      </c>
      <c r="K27" s="22">
        <f t="shared" si="1"/>
        <v>0</v>
      </c>
      <c r="L27" s="22">
        <f t="shared" si="2"/>
        <v>0</v>
      </c>
      <c r="M27" s="22">
        <f t="shared" si="3"/>
        <v>66</v>
      </c>
      <c r="N27" s="22"/>
    </row>
    <row r="28" spans="1:16" x14ac:dyDescent="0.25">
      <c r="A28" s="4">
        <v>28</v>
      </c>
      <c r="B28" s="6" t="s">
        <v>42</v>
      </c>
      <c r="C28" s="52">
        <v>40878</v>
      </c>
      <c r="D28" s="26"/>
      <c r="E28" s="26"/>
      <c r="F28" s="22"/>
      <c r="G28" s="22"/>
      <c r="H28" s="22"/>
      <c r="I28" s="22"/>
      <c r="J28" s="22">
        <f t="shared" si="0"/>
        <v>0</v>
      </c>
      <c r="K28" s="22">
        <f t="shared" si="1"/>
        <v>0</v>
      </c>
      <c r="L28" s="22">
        <f t="shared" si="2"/>
        <v>0</v>
      </c>
      <c r="M28" s="22">
        <f t="shared" si="3"/>
        <v>0</v>
      </c>
      <c r="N28" s="22"/>
    </row>
    <row r="29" spans="1:16" x14ac:dyDescent="0.25">
      <c r="A29" s="4">
        <v>29</v>
      </c>
      <c r="B29" s="6" t="s">
        <v>221</v>
      </c>
      <c r="C29" s="52">
        <v>42430</v>
      </c>
      <c r="D29" s="26">
        <v>44288</v>
      </c>
      <c r="E29" s="26">
        <v>44435</v>
      </c>
      <c r="F29" s="22"/>
      <c r="G29" s="22"/>
      <c r="H29" s="22"/>
      <c r="I29" s="22"/>
      <c r="J29" s="22">
        <f t="shared" si="0"/>
        <v>147</v>
      </c>
      <c r="K29" s="22">
        <f t="shared" si="1"/>
        <v>0</v>
      </c>
      <c r="L29" s="22">
        <f t="shared" si="2"/>
        <v>0</v>
      </c>
      <c r="M29" s="22">
        <f t="shared" si="3"/>
        <v>147</v>
      </c>
      <c r="N29" s="22"/>
    </row>
    <row r="30" spans="1:16" x14ac:dyDescent="0.25">
      <c r="A30" s="4">
        <v>30</v>
      </c>
      <c r="B30" s="6" t="s">
        <v>222</v>
      </c>
      <c r="C30" s="52">
        <v>42522</v>
      </c>
      <c r="D30" s="26">
        <v>44197</v>
      </c>
      <c r="E30" s="26">
        <v>44220</v>
      </c>
      <c r="F30" s="22"/>
      <c r="G30" s="22"/>
      <c r="H30" s="22"/>
      <c r="I30" s="22"/>
      <c r="J30" s="22">
        <f t="shared" si="0"/>
        <v>23</v>
      </c>
      <c r="K30" s="22">
        <f t="shared" si="1"/>
        <v>0</v>
      </c>
      <c r="L30" s="22">
        <f t="shared" si="2"/>
        <v>0</v>
      </c>
      <c r="M30" s="22">
        <f t="shared" si="3"/>
        <v>23</v>
      </c>
      <c r="N30" s="22"/>
    </row>
    <row r="31" spans="1:16" x14ac:dyDescent="0.25">
      <c r="A31" s="4">
        <v>31</v>
      </c>
      <c r="B31" s="6" t="s">
        <v>238</v>
      </c>
      <c r="C31" s="52">
        <v>42614</v>
      </c>
      <c r="D31" s="26"/>
      <c r="E31" s="26"/>
      <c r="F31" s="22"/>
      <c r="G31" s="22"/>
      <c r="H31" s="22"/>
      <c r="I31" s="22"/>
      <c r="J31" s="22">
        <f t="shared" si="0"/>
        <v>0</v>
      </c>
      <c r="K31" s="22">
        <f t="shared" si="1"/>
        <v>0</v>
      </c>
      <c r="L31" s="22">
        <f t="shared" si="2"/>
        <v>0</v>
      </c>
      <c r="M31" s="22">
        <f t="shared" si="3"/>
        <v>0</v>
      </c>
      <c r="N31" s="22"/>
    </row>
    <row r="32" spans="1:16" x14ac:dyDescent="0.25">
      <c r="A32" s="4">
        <v>32</v>
      </c>
      <c r="B32" s="6" t="s">
        <v>227</v>
      </c>
      <c r="C32" s="52">
        <v>42644</v>
      </c>
      <c r="D32" s="26">
        <v>44197</v>
      </c>
      <c r="E32" s="26">
        <v>44227</v>
      </c>
      <c r="F32" s="22"/>
      <c r="G32" s="22"/>
      <c r="H32" s="22"/>
      <c r="I32" s="22"/>
      <c r="J32" s="22">
        <f t="shared" si="0"/>
        <v>30</v>
      </c>
      <c r="K32" s="22">
        <f t="shared" si="1"/>
        <v>0</v>
      </c>
      <c r="L32" s="22">
        <f t="shared" si="2"/>
        <v>0</v>
      </c>
      <c r="M32" s="22">
        <f t="shared" si="3"/>
        <v>30</v>
      </c>
      <c r="N32" s="22"/>
    </row>
    <row r="33" spans="1:14" x14ac:dyDescent="0.25">
      <c r="A33" s="4">
        <v>33</v>
      </c>
      <c r="B33" s="6" t="s">
        <v>229</v>
      </c>
      <c r="C33" s="52">
        <v>42675</v>
      </c>
      <c r="D33" s="26">
        <v>44390</v>
      </c>
      <c r="E33" s="26">
        <v>44521</v>
      </c>
      <c r="F33" s="22"/>
      <c r="G33" s="22"/>
      <c r="H33" s="22"/>
      <c r="I33" s="22"/>
      <c r="J33" s="22">
        <f t="shared" si="0"/>
        <v>131</v>
      </c>
      <c r="K33" s="22">
        <f t="shared" si="1"/>
        <v>0</v>
      </c>
      <c r="L33" s="22">
        <f t="shared" si="2"/>
        <v>0</v>
      </c>
      <c r="M33" s="22">
        <f t="shared" si="3"/>
        <v>131</v>
      </c>
      <c r="N33" s="22"/>
    </row>
    <row r="34" spans="1:14" x14ac:dyDescent="0.25">
      <c r="A34" s="4">
        <v>34</v>
      </c>
      <c r="B34" s="6" t="s">
        <v>235</v>
      </c>
      <c r="C34" s="52">
        <v>42856</v>
      </c>
      <c r="D34" s="26">
        <v>44470</v>
      </c>
      <c r="E34" s="26">
        <v>44561</v>
      </c>
      <c r="F34" s="22"/>
      <c r="G34" s="22"/>
      <c r="H34" s="22"/>
      <c r="I34" s="22"/>
      <c r="J34" s="22">
        <f t="shared" si="0"/>
        <v>91</v>
      </c>
      <c r="K34" s="22">
        <f t="shared" si="1"/>
        <v>0</v>
      </c>
      <c r="L34" s="22">
        <f t="shared" si="2"/>
        <v>0</v>
      </c>
      <c r="M34" s="22">
        <f t="shared" si="3"/>
        <v>91</v>
      </c>
      <c r="N34" s="22"/>
    </row>
    <row r="35" spans="1:14" x14ac:dyDescent="0.25">
      <c r="A35" s="4">
        <v>35</v>
      </c>
      <c r="B35" s="6" t="s">
        <v>241</v>
      </c>
      <c r="C35" s="52">
        <v>42948</v>
      </c>
      <c r="D35" s="26">
        <v>44197</v>
      </c>
      <c r="E35" s="26">
        <v>44227</v>
      </c>
      <c r="F35" s="22"/>
      <c r="G35" s="22"/>
      <c r="H35" s="22"/>
      <c r="I35" s="22"/>
      <c r="J35" s="22">
        <f t="shared" si="0"/>
        <v>30</v>
      </c>
      <c r="K35" s="22">
        <f t="shared" si="1"/>
        <v>0</v>
      </c>
      <c r="L35" s="22">
        <f t="shared" si="2"/>
        <v>0</v>
      </c>
      <c r="M35" s="22">
        <f t="shared" si="3"/>
        <v>30</v>
      </c>
      <c r="N35" s="22"/>
    </row>
    <row r="36" spans="1:14" x14ac:dyDescent="0.25">
      <c r="A36" s="4">
        <v>36</v>
      </c>
      <c r="B36" s="6" t="s">
        <v>242</v>
      </c>
      <c r="C36" s="52">
        <v>42948</v>
      </c>
      <c r="D36" s="26"/>
      <c r="E36" s="26"/>
      <c r="F36" s="22"/>
      <c r="G36" s="22"/>
      <c r="H36" s="22"/>
      <c r="I36" s="22"/>
      <c r="J36" s="22">
        <f t="shared" si="0"/>
        <v>0</v>
      </c>
      <c r="K36" s="22">
        <f t="shared" si="1"/>
        <v>0</v>
      </c>
      <c r="L36" s="22">
        <f t="shared" si="2"/>
        <v>0</v>
      </c>
      <c r="M36" s="22">
        <f t="shared" si="3"/>
        <v>0</v>
      </c>
      <c r="N36" s="22"/>
    </row>
    <row r="37" spans="1:14" x14ac:dyDescent="0.25">
      <c r="A37" s="4">
        <v>37</v>
      </c>
      <c r="B37" s="6" t="s">
        <v>244</v>
      </c>
      <c r="C37" s="52">
        <v>42979</v>
      </c>
      <c r="D37" s="26"/>
      <c r="E37" s="26"/>
      <c r="F37" s="22"/>
      <c r="G37" s="22"/>
      <c r="H37" s="22"/>
      <c r="I37" s="22"/>
      <c r="J37" s="22">
        <f t="shared" si="0"/>
        <v>0</v>
      </c>
      <c r="K37" s="22">
        <f t="shared" si="1"/>
        <v>0</v>
      </c>
      <c r="L37" s="22">
        <f t="shared" si="2"/>
        <v>0</v>
      </c>
      <c r="M37" s="22">
        <f t="shared" si="3"/>
        <v>0</v>
      </c>
      <c r="N37" s="22"/>
    </row>
    <row r="38" spans="1:14" x14ac:dyDescent="0.25">
      <c r="A38" s="4">
        <v>38</v>
      </c>
      <c r="B38" s="6" t="s">
        <v>250</v>
      </c>
      <c r="C38" s="52">
        <v>43101</v>
      </c>
      <c r="D38" s="26"/>
      <c r="E38" s="26"/>
      <c r="F38" s="22"/>
      <c r="G38" s="22"/>
      <c r="H38" s="22"/>
      <c r="I38" s="22"/>
      <c r="J38" s="22">
        <f t="shared" si="0"/>
        <v>0</v>
      </c>
      <c r="K38" s="22">
        <f t="shared" si="1"/>
        <v>0</v>
      </c>
      <c r="L38" s="22">
        <f t="shared" si="2"/>
        <v>0</v>
      </c>
      <c r="M38" s="22">
        <f t="shared" si="3"/>
        <v>0</v>
      </c>
      <c r="N38" s="22"/>
    </row>
    <row r="39" spans="1:14" x14ac:dyDescent="0.25">
      <c r="A39" s="4">
        <v>39</v>
      </c>
      <c r="B39" s="6" t="s">
        <v>251</v>
      </c>
      <c r="C39" s="52">
        <v>43101</v>
      </c>
      <c r="D39" s="26"/>
      <c r="E39" s="26"/>
      <c r="F39" s="22"/>
      <c r="G39" s="22"/>
      <c r="H39" s="22"/>
      <c r="I39" s="22"/>
      <c r="J39" s="22">
        <f t="shared" si="0"/>
        <v>0</v>
      </c>
      <c r="K39" s="22">
        <f t="shared" si="1"/>
        <v>0</v>
      </c>
      <c r="L39" s="22">
        <f t="shared" si="2"/>
        <v>0</v>
      </c>
      <c r="M39" s="22">
        <f t="shared" si="3"/>
        <v>0</v>
      </c>
      <c r="N39" s="22"/>
    </row>
    <row r="40" spans="1:14" x14ac:dyDescent="0.25">
      <c r="A40" s="4">
        <v>40</v>
      </c>
      <c r="B40" s="6" t="s">
        <v>253</v>
      </c>
      <c r="C40" s="52">
        <v>43132</v>
      </c>
      <c r="D40" s="26">
        <v>44468</v>
      </c>
      <c r="E40" s="26">
        <v>44492</v>
      </c>
      <c r="F40" s="22"/>
      <c r="G40" s="22"/>
      <c r="H40" s="22"/>
      <c r="I40" s="22"/>
      <c r="J40" s="22">
        <f t="shared" si="0"/>
        <v>24</v>
      </c>
      <c r="K40" s="22">
        <f t="shared" si="1"/>
        <v>0</v>
      </c>
      <c r="L40" s="22">
        <f t="shared" si="2"/>
        <v>0</v>
      </c>
      <c r="M40" s="22">
        <f t="shared" si="3"/>
        <v>24</v>
      </c>
      <c r="N40" s="22"/>
    </row>
    <row r="41" spans="1:14" x14ac:dyDescent="0.25">
      <c r="A41" s="4">
        <v>41</v>
      </c>
      <c r="B41" s="6" t="s">
        <v>254</v>
      </c>
      <c r="C41" s="52">
        <v>43191</v>
      </c>
      <c r="D41" s="26"/>
      <c r="E41" s="26"/>
      <c r="F41" s="22"/>
      <c r="G41" s="22"/>
      <c r="H41" s="22"/>
      <c r="I41" s="22"/>
      <c r="J41" s="22">
        <f t="shared" si="0"/>
        <v>0</v>
      </c>
      <c r="K41" s="22">
        <f t="shared" si="1"/>
        <v>0</v>
      </c>
      <c r="L41" s="22">
        <f t="shared" si="2"/>
        <v>0</v>
      </c>
      <c r="M41" s="22">
        <f t="shared" si="3"/>
        <v>0</v>
      </c>
      <c r="N41" s="22"/>
    </row>
    <row r="42" spans="1:14" x14ac:dyDescent="0.25">
      <c r="A42" s="4">
        <v>42</v>
      </c>
      <c r="B42" s="22" t="s">
        <v>257</v>
      </c>
      <c r="C42" s="52">
        <v>43282</v>
      </c>
      <c r="D42" s="26">
        <v>44220</v>
      </c>
      <c r="E42" s="26">
        <v>44227</v>
      </c>
      <c r="F42" s="22"/>
      <c r="G42" s="22"/>
      <c r="H42" s="22"/>
      <c r="I42" s="22"/>
      <c r="J42" s="22">
        <f t="shared" si="0"/>
        <v>7</v>
      </c>
      <c r="K42" s="22">
        <f t="shared" si="1"/>
        <v>0</v>
      </c>
      <c r="L42" s="22">
        <f t="shared" si="2"/>
        <v>0</v>
      </c>
      <c r="M42" s="22">
        <f t="shared" si="3"/>
        <v>7</v>
      </c>
      <c r="N42" s="22"/>
    </row>
    <row r="43" spans="1:14" x14ac:dyDescent="0.25">
      <c r="A43" s="4">
        <v>43</v>
      </c>
      <c r="B43" s="22" t="s">
        <v>258</v>
      </c>
      <c r="C43" s="52">
        <v>43282</v>
      </c>
      <c r="D43" s="26">
        <v>44197</v>
      </c>
      <c r="E43" s="26">
        <v>44252</v>
      </c>
      <c r="F43" s="22"/>
      <c r="G43" s="22"/>
      <c r="H43" s="22"/>
      <c r="I43" s="22"/>
      <c r="J43" s="22">
        <f t="shared" si="0"/>
        <v>55</v>
      </c>
      <c r="K43" s="22">
        <f t="shared" si="1"/>
        <v>0</v>
      </c>
      <c r="L43" s="22">
        <f t="shared" si="2"/>
        <v>0</v>
      </c>
      <c r="M43" s="22">
        <f t="shared" si="3"/>
        <v>55</v>
      </c>
      <c r="N43" s="22"/>
    </row>
    <row r="44" spans="1:14" x14ac:dyDescent="0.25">
      <c r="A44" s="4">
        <v>44</v>
      </c>
      <c r="B44" s="22" t="s">
        <v>261</v>
      </c>
      <c r="C44" s="52">
        <v>43466</v>
      </c>
      <c r="D44" s="26">
        <v>44534</v>
      </c>
      <c r="E44" s="26">
        <v>44561</v>
      </c>
      <c r="F44" s="22"/>
      <c r="G44" s="22"/>
      <c r="H44" s="22"/>
      <c r="I44" s="22"/>
      <c r="J44" s="22">
        <f t="shared" si="0"/>
        <v>27</v>
      </c>
      <c r="K44" s="22">
        <f t="shared" si="1"/>
        <v>0</v>
      </c>
      <c r="L44" s="22">
        <f t="shared" si="2"/>
        <v>0</v>
      </c>
      <c r="M44" s="22">
        <f t="shared" si="3"/>
        <v>27</v>
      </c>
      <c r="N44" s="22"/>
    </row>
    <row r="45" spans="1:14" x14ac:dyDescent="0.25">
      <c r="A45" s="4">
        <v>45</v>
      </c>
      <c r="B45" s="59" t="s">
        <v>281</v>
      </c>
      <c r="C45" s="52">
        <v>43497</v>
      </c>
      <c r="D45" s="26">
        <v>44288</v>
      </c>
      <c r="E45" s="26">
        <v>44426</v>
      </c>
      <c r="F45" s="22"/>
      <c r="G45" s="22"/>
      <c r="H45" s="22"/>
      <c r="I45" s="22"/>
      <c r="J45" s="22">
        <f t="shared" si="0"/>
        <v>138</v>
      </c>
      <c r="K45" s="22">
        <f t="shared" si="1"/>
        <v>0</v>
      </c>
      <c r="L45" s="22">
        <f t="shared" si="2"/>
        <v>0</v>
      </c>
      <c r="M45" s="22">
        <f t="shared" si="3"/>
        <v>138</v>
      </c>
      <c r="N45" s="22"/>
    </row>
    <row r="46" spans="1:14" x14ac:dyDescent="0.25">
      <c r="A46" s="4">
        <v>46</v>
      </c>
      <c r="B46" s="56" t="s">
        <v>262</v>
      </c>
      <c r="C46" s="52">
        <v>43556</v>
      </c>
      <c r="D46" s="26">
        <v>44432</v>
      </c>
      <c r="E46" s="26">
        <v>44488</v>
      </c>
      <c r="F46" s="22"/>
      <c r="G46" s="22"/>
      <c r="H46" s="22"/>
      <c r="I46" s="22"/>
      <c r="J46" s="22">
        <f t="shared" si="0"/>
        <v>56</v>
      </c>
      <c r="K46" s="22">
        <f t="shared" si="1"/>
        <v>0</v>
      </c>
      <c r="L46" s="22">
        <f t="shared" si="2"/>
        <v>0</v>
      </c>
      <c r="M46" s="22">
        <f t="shared" si="3"/>
        <v>56</v>
      </c>
      <c r="N46" s="22"/>
    </row>
    <row r="47" spans="1:14" x14ac:dyDescent="0.25">
      <c r="A47" s="4">
        <v>47</v>
      </c>
      <c r="B47" s="58" t="s">
        <v>269</v>
      </c>
      <c r="C47" s="52">
        <v>43647</v>
      </c>
      <c r="D47" s="22"/>
      <c r="E47" s="22"/>
      <c r="F47" s="22"/>
      <c r="G47" s="22"/>
      <c r="H47" s="22"/>
      <c r="I47" s="22"/>
      <c r="J47" s="22">
        <f t="shared" si="0"/>
        <v>0</v>
      </c>
      <c r="K47" s="22">
        <f t="shared" si="1"/>
        <v>0</v>
      </c>
      <c r="L47" s="22">
        <f t="shared" si="2"/>
        <v>0</v>
      </c>
      <c r="M47" s="22">
        <f t="shared" si="3"/>
        <v>0</v>
      </c>
      <c r="N47" s="22"/>
    </row>
    <row r="48" spans="1:14" x14ac:dyDescent="0.25">
      <c r="A48" s="4">
        <v>48</v>
      </c>
      <c r="B48" s="58" t="s">
        <v>270</v>
      </c>
      <c r="C48" s="52">
        <v>43647</v>
      </c>
      <c r="D48" s="26">
        <v>44439</v>
      </c>
      <c r="E48" s="26">
        <v>44530</v>
      </c>
      <c r="F48" s="22"/>
      <c r="G48" s="22"/>
      <c r="H48" s="22"/>
      <c r="I48" s="22"/>
      <c r="J48" s="22">
        <f t="shared" si="0"/>
        <v>91</v>
      </c>
      <c r="K48" s="22">
        <f t="shared" si="1"/>
        <v>0</v>
      </c>
      <c r="L48" s="22">
        <f t="shared" si="2"/>
        <v>0</v>
      </c>
      <c r="M48" s="22">
        <f t="shared" si="3"/>
        <v>91</v>
      </c>
      <c r="N48" s="22"/>
    </row>
    <row r="49" spans="1:14" x14ac:dyDescent="0.25">
      <c r="A49" s="4">
        <v>49</v>
      </c>
      <c r="B49" s="58" t="s">
        <v>272</v>
      </c>
      <c r="C49" s="52">
        <v>43647</v>
      </c>
      <c r="D49" s="22"/>
      <c r="E49" s="22"/>
      <c r="F49" s="22"/>
      <c r="G49" s="22"/>
      <c r="H49" s="22"/>
      <c r="I49" s="22"/>
      <c r="J49" s="22">
        <f t="shared" si="0"/>
        <v>0</v>
      </c>
      <c r="K49" s="22">
        <f t="shared" si="1"/>
        <v>0</v>
      </c>
      <c r="L49" s="22">
        <f t="shared" si="2"/>
        <v>0</v>
      </c>
      <c r="M49" s="22">
        <f t="shared" si="3"/>
        <v>0</v>
      </c>
      <c r="N49" s="22"/>
    </row>
    <row r="50" spans="1:14" x14ac:dyDescent="0.25">
      <c r="A50" s="4">
        <v>50</v>
      </c>
      <c r="B50" s="56" t="s">
        <v>265</v>
      </c>
      <c r="C50" s="52">
        <v>43617</v>
      </c>
      <c r="D50" s="22"/>
      <c r="E50" s="22"/>
      <c r="F50" s="22"/>
      <c r="G50" s="22"/>
      <c r="H50" s="22"/>
      <c r="I50" s="22"/>
      <c r="J50" s="22">
        <f t="shared" si="0"/>
        <v>0</v>
      </c>
      <c r="K50" s="22">
        <f t="shared" si="1"/>
        <v>0</v>
      </c>
      <c r="L50" s="22">
        <f t="shared" si="2"/>
        <v>0</v>
      </c>
      <c r="M50" s="22">
        <f t="shared" si="3"/>
        <v>0</v>
      </c>
      <c r="N50" s="22"/>
    </row>
    <row r="51" spans="1:14" x14ac:dyDescent="0.25">
      <c r="A51" s="4">
        <v>51</v>
      </c>
      <c r="B51" s="58" t="s">
        <v>276</v>
      </c>
      <c r="C51" s="52">
        <v>43739</v>
      </c>
      <c r="D51" s="22"/>
      <c r="E51" s="22"/>
      <c r="F51" s="22"/>
      <c r="G51" s="22"/>
      <c r="H51" s="22"/>
      <c r="I51" s="22"/>
      <c r="J51" s="22">
        <f t="shared" si="0"/>
        <v>0</v>
      </c>
      <c r="K51" s="22">
        <f t="shared" si="1"/>
        <v>0</v>
      </c>
      <c r="L51" s="22">
        <f t="shared" si="2"/>
        <v>0</v>
      </c>
      <c r="M51" s="22">
        <f t="shared" si="3"/>
        <v>0</v>
      </c>
      <c r="N51" s="22"/>
    </row>
    <row r="52" spans="1:14" x14ac:dyDescent="0.25">
      <c r="A52" s="4">
        <v>52</v>
      </c>
      <c r="B52" s="58" t="s">
        <v>278</v>
      </c>
      <c r="C52" s="52">
        <v>43800</v>
      </c>
      <c r="D52" s="22"/>
      <c r="E52" s="22"/>
      <c r="F52" s="22"/>
      <c r="G52" s="22"/>
      <c r="H52" s="22"/>
      <c r="I52" s="22"/>
      <c r="J52" s="22">
        <f t="shared" si="0"/>
        <v>0</v>
      </c>
      <c r="K52" s="22">
        <f t="shared" si="1"/>
        <v>0</v>
      </c>
      <c r="L52" s="22">
        <f t="shared" si="2"/>
        <v>0</v>
      </c>
      <c r="M52" s="22">
        <f t="shared" si="3"/>
        <v>0</v>
      </c>
      <c r="N52" s="22"/>
    </row>
    <row r="53" spans="1:14" x14ac:dyDescent="0.25">
      <c r="A53" s="4">
        <v>53</v>
      </c>
      <c r="B53" s="58" t="s">
        <v>280</v>
      </c>
      <c r="C53" s="52">
        <v>43891</v>
      </c>
      <c r="D53" s="22"/>
      <c r="E53" s="22"/>
      <c r="F53" s="22"/>
      <c r="G53" s="22"/>
      <c r="H53" s="22"/>
      <c r="I53" s="22"/>
      <c r="J53" s="22">
        <f t="shared" si="0"/>
        <v>0</v>
      </c>
      <c r="K53" s="22">
        <f t="shared" si="1"/>
        <v>0</v>
      </c>
      <c r="L53" s="22">
        <f t="shared" si="2"/>
        <v>0</v>
      </c>
      <c r="M53" s="22">
        <f t="shared" si="3"/>
        <v>0</v>
      </c>
      <c r="N53" s="22"/>
    </row>
    <row r="54" spans="1:14" x14ac:dyDescent="0.25">
      <c r="A54" s="4">
        <v>54</v>
      </c>
      <c r="B54" s="61" t="s">
        <v>291</v>
      </c>
      <c r="C54" s="52">
        <v>44075</v>
      </c>
      <c r="D54" s="22"/>
      <c r="E54" s="22"/>
      <c r="F54" s="22"/>
      <c r="G54" s="22"/>
      <c r="H54" s="22"/>
      <c r="I54" s="22"/>
      <c r="J54" s="22">
        <f t="shared" si="0"/>
        <v>0</v>
      </c>
      <c r="K54" s="22">
        <f t="shared" si="1"/>
        <v>0</v>
      </c>
      <c r="L54" s="22">
        <f t="shared" si="2"/>
        <v>0</v>
      </c>
      <c r="M54" s="22">
        <f t="shared" si="3"/>
        <v>0</v>
      </c>
      <c r="N54" s="22"/>
    </row>
    <row r="55" spans="1:14" x14ac:dyDescent="0.25">
      <c r="A55" s="4">
        <v>55</v>
      </c>
      <c r="B55" s="61" t="s">
        <v>286</v>
      </c>
      <c r="C55" s="52">
        <v>44105</v>
      </c>
      <c r="D55" s="22"/>
      <c r="E55" s="22"/>
      <c r="F55" s="22"/>
      <c r="G55" s="22"/>
      <c r="H55" s="22"/>
      <c r="I55" s="22"/>
      <c r="J55" s="22">
        <f t="shared" si="0"/>
        <v>0</v>
      </c>
      <c r="K55" s="22">
        <f t="shared" si="1"/>
        <v>0</v>
      </c>
      <c r="L55" s="22">
        <f t="shared" si="2"/>
        <v>0</v>
      </c>
      <c r="M55" s="22">
        <f t="shared" si="3"/>
        <v>0</v>
      </c>
      <c r="N55" s="22"/>
    </row>
    <row r="56" spans="1:14" x14ac:dyDescent="0.25">
      <c r="A56" s="4">
        <v>56</v>
      </c>
      <c r="B56" s="61" t="s">
        <v>292</v>
      </c>
      <c r="C56" s="52">
        <v>44136</v>
      </c>
      <c r="D56" s="22"/>
      <c r="E56" s="22"/>
      <c r="F56" s="22"/>
      <c r="G56" s="22"/>
      <c r="H56" s="22"/>
      <c r="I56" s="22"/>
      <c r="J56" s="22">
        <f t="shared" si="0"/>
        <v>0</v>
      </c>
      <c r="K56" s="22">
        <f t="shared" si="1"/>
        <v>0</v>
      </c>
      <c r="L56" s="22">
        <f t="shared" si="2"/>
        <v>0</v>
      </c>
      <c r="M56" s="22">
        <f t="shared" si="3"/>
        <v>0</v>
      </c>
      <c r="N56" s="22"/>
    </row>
    <row r="57" spans="1:14" x14ac:dyDescent="0.25">
      <c r="A57" s="4">
        <v>57</v>
      </c>
      <c r="B57" s="61" t="s">
        <v>293</v>
      </c>
      <c r="C57" s="52">
        <v>44136</v>
      </c>
      <c r="D57" s="22"/>
      <c r="E57" s="22"/>
      <c r="F57" s="22"/>
      <c r="G57" s="22"/>
      <c r="H57" s="22"/>
      <c r="I57" s="22"/>
      <c r="J57" s="22">
        <f t="shared" si="0"/>
        <v>0</v>
      </c>
      <c r="K57" s="22">
        <f t="shared" si="1"/>
        <v>0</v>
      </c>
      <c r="L57" s="22">
        <f t="shared" si="2"/>
        <v>0</v>
      </c>
      <c r="M57" s="22">
        <f t="shared" si="3"/>
        <v>0</v>
      </c>
      <c r="N57" s="22"/>
    </row>
    <row r="58" spans="1:14" x14ac:dyDescent="0.25">
      <c r="A58" s="4">
        <v>58</v>
      </c>
      <c r="B58" s="61" t="s">
        <v>295</v>
      </c>
      <c r="C58" s="52">
        <v>44197</v>
      </c>
      <c r="D58" s="22"/>
      <c r="E58" s="22"/>
      <c r="F58" s="22"/>
      <c r="G58" s="22"/>
      <c r="H58" s="22"/>
      <c r="I58" s="22"/>
      <c r="J58" s="22">
        <f t="shared" ref="J58:J74" si="4">E58-D58</f>
        <v>0</v>
      </c>
      <c r="K58" s="22">
        <f t="shared" ref="K58:K74" si="5">G58-F58</f>
        <v>0</v>
      </c>
      <c r="L58" s="22">
        <f t="shared" ref="L58:L74" si="6">I58-H58</f>
        <v>0</v>
      </c>
      <c r="M58" s="22">
        <f t="shared" ref="M58:M74" si="7">J58+K58+L58</f>
        <v>0</v>
      </c>
      <c r="N58" s="22"/>
    </row>
    <row r="59" spans="1:14" x14ac:dyDescent="0.25">
      <c r="A59" s="4">
        <v>59</v>
      </c>
      <c r="B59" s="61" t="s">
        <v>296</v>
      </c>
      <c r="C59" s="52">
        <v>44210</v>
      </c>
      <c r="D59" s="22"/>
      <c r="E59" s="22"/>
      <c r="F59" s="22"/>
      <c r="G59" s="22"/>
      <c r="H59" s="22"/>
      <c r="I59" s="22"/>
      <c r="J59" s="22">
        <f t="shared" si="4"/>
        <v>0</v>
      </c>
      <c r="K59" s="22">
        <f t="shared" si="5"/>
        <v>0</v>
      </c>
      <c r="L59" s="22">
        <f t="shared" si="6"/>
        <v>0</v>
      </c>
      <c r="M59" s="22">
        <f t="shared" si="7"/>
        <v>0</v>
      </c>
      <c r="N59" s="22"/>
    </row>
    <row r="60" spans="1:14" x14ac:dyDescent="0.25">
      <c r="A60" s="4">
        <v>60</v>
      </c>
      <c r="B60" s="63" t="s">
        <v>170</v>
      </c>
      <c r="C60" s="52">
        <v>44197</v>
      </c>
      <c r="D60" s="22"/>
      <c r="E60" s="22"/>
      <c r="F60" s="22"/>
      <c r="G60" s="22"/>
      <c r="H60" s="22"/>
      <c r="I60" s="22"/>
      <c r="J60" s="22">
        <f t="shared" si="4"/>
        <v>0</v>
      </c>
      <c r="K60" s="22">
        <f t="shared" si="5"/>
        <v>0</v>
      </c>
      <c r="L60" s="22">
        <f t="shared" si="6"/>
        <v>0</v>
      </c>
      <c r="M60" s="22">
        <f t="shared" si="7"/>
        <v>0</v>
      </c>
      <c r="N60" s="22"/>
    </row>
    <row r="61" spans="1:14" x14ac:dyDescent="0.25">
      <c r="A61" s="4">
        <v>61</v>
      </c>
      <c r="B61" s="61" t="s">
        <v>297</v>
      </c>
      <c r="C61" s="52">
        <v>44197</v>
      </c>
      <c r="D61" s="22"/>
      <c r="E61" s="22"/>
      <c r="F61" s="22"/>
      <c r="G61" s="22"/>
      <c r="H61" s="22"/>
      <c r="I61" s="22"/>
      <c r="J61" s="22">
        <f t="shared" si="4"/>
        <v>0</v>
      </c>
      <c r="K61" s="22">
        <f t="shared" si="5"/>
        <v>0</v>
      </c>
      <c r="L61" s="22">
        <f t="shared" si="6"/>
        <v>0</v>
      </c>
      <c r="M61" s="22">
        <f t="shared" si="7"/>
        <v>0</v>
      </c>
      <c r="N61" s="22"/>
    </row>
    <row r="62" spans="1:14" x14ac:dyDescent="0.25">
      <c r="A62" s="4">
        <v>62</v>
      </c>
      <c r="B62" s="61" t="s">
        <v>298</v>
      </c>
      <c r="C62" s="52">
        <v>44197</v>
      </c>
      <c r="D62" s="22"/>
      <c r="E62" s="22"/>
      <c r="F62" s="22"/>
      <c r="G62" s="22"/>
      <c r="H62" s="22"/>
      <c r="I62" s="22"/>
      <c r="J62" s="22">
        <f t="shared" si="4"/>
        <v>0</v>
      </c>
      <c r="K62" s="22">
        <f t="shared" si="5"/>
        <v>0</v>
      </c>
      <c r="L62" s="22">
        <f t="shared" si="6"/>
        <v>0</v>
      </c>
      <c r="M62" s="22">
        <f t="shared" si="7"/>
        <v>0</v>
      </c>
      <c r="N62" s="22"/>
    </row>
    <row r="63" spans="1:14" x14ac:dyDescent="0.25">
      <c r="A63" s="4">
        <v>63</v>
      </c>
      <c r="B63" s="59" t="s">
        <v>299</v>
      </c>
      <c r="C63" s="52">
        <v>44197</v>
      </c>
      <c r="D63" s="22"/>
      <c r="E63" s="22"/>
      <c r="F63" s="22"/>
      <c r="G63" s="22"/>
      <c r="H63" s="22"/>
      <c r="I63" s="22"/>
      <c r="J63" s="22">
        <f t="shared" si="4"/>
        <v>0</v>
      </c>
      <c r="K63" s="22">
        <f t="shared" si="5"/>
        <v>0</v>
      </c>
      <c r="L63" s="22">
        <f t="shared" si="6"/>
        <v>0</v>
      </c>
      <c r="M63" s="22">
        <f t="shared" si="7"/>
        <v>0</v>
      </c>
      <c r="N63" s="22"/>
    </row>
    <row r="64" spans="1:14" x14ac:dyDescent="0.25">
      <c r="A64" s="4">
        <v>64</v>
      </c>
      <c r="B64" s="59" t="s">
        <v>300</v>
      </c>
      <c r="C64" s="52">
        <v>44197</v>
      </c>
      <c r="D64" s="22"/>
      <c r="E64" s="22"/>
      <c r="F64" s="22"/>
      <c r="G64" s="22"/>
      <c r="H64" s="22"/>
      <c r="I64" s="22"/>
      <c r="J64" s="22">
        <f t="shared" si="4"/>
        <v>0</v>
      </c>
      <c r="K64" s="22">
        <f t="shared" si="5"/>
        <v>0</v>
      </c>
      <c r="L64" s="22">
        <f t="shared" si="6"/>
        <v>0</v>
      </c>
      <c r="M64" s="22">
        <f t="shared" si="7"/>
        <v>0</v>
      </c>
      <c r="N64" s="22"/>
    </row>
    <row r="65" spans="1:14" x14ac:dyDescent="0.25">
      <c r="A65" s="4">
        <v>65</v>
      </c>
      <c r="B65" s="61" t="s">
        <v>301</v>
      </c>
      <c r="C65" s="52">
        <v>44228</v>
      </c>
      <c r="D65" s="22"/>
      <c r="E65" s="22"/>
      <c r="F65" s="22"/>
      <c r="G65" s="22"/>
      <c r="H65" s="22"/>
      <c r="I65" s="22"/>
      <c r="J65" s="22">
        <f t="shared" si="4"/>
        <v>0</v>
      </c>
      <c r="K65" s="22">
        <f t="shared" si="5"/>
        <v>0</v>
      </c>
      <c r="L65" s="22">
        <f t="shared" si="6"/>
        <v>0</v>
      </c>
      <c r="M65" s="22">
        <f t="shared" si="7"/>
        <v>0</v>
      </c>
      <c r="N65" s="22"/>
    </row>
    <row r="66" spans="1:14" x14ac:dyDescent="0.25">
      <c r="A66" s="4">
        <v>66</v>
      </c>
      <c r="B66" s="61" t="s">
        <v>302</v>
      </c>
      <c r="C66" s="52">
        <v>44256</v>
      </c>
      <c r="D66" s="22"/>
      <c r="E66" s="22"/>
      <c r="F66" s="22"/>
      <c r="G66" s="22"/>
      <c r="H66" s="22"/>
      <c r="I66" s="22"/>
      <c r="J66" s="22">
        <f t="shared" si="4"/>
        <v>0</v>
      </c>
      <c r="K66" s="22">
        <f t="shared" si="5"/>
        <v>0</v>
      </c>
      <c r="L66" s="22">
        <f t="shared" si="6"/>
        <v>0</v>
      </c>
      <c r="M66" s="22">
        <f t="shared" si="7"/>
        <v>0</v>
      </c>
      <c r="N66" s="22"/>
    </row>
    <row r="67" spans="1:14" x14ac:dyDescent="0.25">
      <c r="A67" s="4">
        <v>67</v>
      </c>
      <c r="B67" s="61" t="s">
        <v>303</v>
      </c>
      <c r="C67" s="52">
        <v>44256</v>
      </c>
      <c r="D67" s="22"/>
      <c r="E67" s="22"/>
      <c r="F67" s="22"/>
      <c r="G67" s="22"/>
      <c r="H67" s="22"/>
      <c r="I67" s="22"/>
      <c r="J67" s="22">
        <f t="shared" si="4"/>
        <v>0</v>
      </c>
      <c r="K67" s="22">
        <f t="shared" si="5"/>
        <v>0</v>
      </c>
      <c r="L67" s="22">
        <f t="shared" si="6"/>
        <v>0</v>
      </c>
      <c r="M67" s="22">
        <f t="shared" si="7"/>
        <v>0</v>
      </c>
      <c r="N67" s="22"/>
    </row>
    <row r="68" spans="1:14" x14ac:dyDescent="0.25">
      <c r="A68" s="4">
        <v>68</v>
      </c>
      <c r="B68" s="59" t="s">
        <v>304</v>
      </c>
      <c r="C68" s="52">
        <v>44256</v>
      </c>
      <c r="D68" s="22"/>
      <c r="E68" s="22"/>
      <c r="F68" s="22"/>
      <c r="G68" s="22"/>
      <c r="H68" s="22"/>
      <c r="I68" s="22"/>
      <c r="J68" s="22">
        <f t="shared" si="4"/>
        <v>0</v>
      </c>
      <c r="K68" s="22">
        <f t="shared" si="5"/>
        <v>0</v>
      </c>
      <c r="L68" s="22">
        <f t="shared" si="6"/>
        <v>0</v>
      </c>
      <c r="M68" s="22">
        <f t="shared" si="7"/>
        <v>0</v>
      </c>
      <c r="N68" s="22"/>
    </row>
    <row r="69" spans="1:14" x14ac:dyDescent="0.25">
      <c r="A69" s="4">
        <v>69</v>
      </c>
      <c r="B69" s="59" t="s">
        <v>305</v>
      </c>
      <c r="C69" s="52">
        <v>44287</v>
      </c>
      <c r="D69" s="22"/>
      <c r="E69" s="22"/>
      <c r="F69" s="22"/>
      <c r="G69" s="22"/>
      <c r="H69" s="22"/>
      <c r="I69" s="22"/>
      <c r="J69" s="22">
        <f t="shared" si="4"/>
        <v>0</v>
      </c>
      <c r="K69" s="22">
        <f t="shared" si="5"/>
        <v>0</v>
      </c>
      <c r="L69" s="22">
        <f t="shared" si="6"/>
        <v>0</v>
      </c>
      <c r="M69" s="22">
        <f t="shared" si="7"/>
        <v>0</v>
      </c>
      <c r="N69" s="22"/>
    </row>
    <row r="70" spans="1:14" x14ac:dyDescent="0.25">
      <c r="A70" s="4">
        <v>70</v>
      </c>
      <c r="B70" s="59" t="s">
        <v>306</v>
      </c>
      <c r="C70" s="52">
        <v>44287</v>
      </c>
      <c r="D70" s="22"/>
      <c r="E70" s="22"/>
      <c r="F70" s="22"/>
      <c r="G70" s="22"/>
      <c r="H70" s="22"/>
      <c r="I70" s="22"/>
      <c r="J70" s="22">
        <f t="shared" si="4"/>
        <v>0</v>
      </c>
      <c r="K70" s="22">
        <f t="shared" si="5"/>
        <v>0</v>
      </c>
      <c r="L70" s="22">
        <f t="shared" si="6"/>
        <v>0</v>
      </c>
      <c r="M70" s="22">
        <f t="shared" si="7"/>
        <v>0</v>
      </c>
      <c r="N70" s="22"/>
    </row>
    <row r="71" spans="1:14" x14ac:dyDescent="0.25">
      <c r="A71" s="4">
        <v>71</v>
      </c>
      <c r="B71" s="59" t="s">
        <v>307</v>
      </c>
      <c r="C71" s="52">
        <v>44287</v>
      </c>
      <c r="D71" s="22"/>
      <c r="E71" s="22"/>
      <c r="F71" s="22"/>
      <c r="G71" s="22"/>
      <c r="H71" s="22"/>
      <c r="I71" s="22"/>
      <c r="J71" s="22">
        <f t="shared" si="4"/>
        <v>0</v>
      </c>
      <c r="K71" s="22">
        <f t="shared" si="5"/>
        <v>0</v>
      </c>
      <c r="L71" s="22">
        <f t="shared" si="6"/>
        <v>0</v>
      </c>
      <c r="M71" s="22">
        <f t="shared" si="7"/>
        <v>0</v>
      </c>
      <c r="N71" s="22"/>
    </row>
    <row r="72" spans="1:14" x14ac:dyDescent="0.25">
      <c r="A72" s="4">
        <v>72</v>
      </c>
      <c r="B72" s="59" t="s">
        <v>308</v>
      </c>
      <c r="C72" s="52">
        <v>44378</v>
      </c>
      <c r="D72" s="22"/>
      <c r="E72" s="22"/>
      <c r="F72" s="22"/>
      <c r="G72" s="22"/>
      <c r="H72" s="22"/>
      <c r="I72" s="22"/>
      <c r="J72" s="22">
        <f t="shared" si="4"/>
        <v>0</v>
      </c>
      <c r="K72" s="22">
        <f t="shared" si="5"/>
        <v>0</v>
      </c>
      <c r="L72" s="22">
        <f t="shared" si="6"/>
        <v>0</v>
      </c>
      <c r="M72" s="22">
        <f t="shared" si="7"/>
        <v>0</v>
      </c>
      <c r="N72" s="22"/>
    </row>
    <row r="73" spans="1:14" x14ac:dyDescent="0.25">
      <c r="A73" s="4">
        <v>73</v>
      </c>
      <c r="B73" s="59" t="s">
        <v>309</v>
      </c>
      <c r="C73" s="52">
        <v>44378</v>
      </c>
      <c r="D73" s="22"/>
      <c r="E73" s="22"/>
      <c r="F73" s="22"/>
      <c r="G73" s="22"/>
      <c r="H73" s="22"/>
      <c r="I73" s="22"/>
      <c r="J73" s="22">
        <f t="shared" si="4"/>
        <v>0</v>
      </c>
      <c r="K73" s="22">
        <f t="shared" si="5"/>
        <v>0</v>
      </c>
      <c r="L73" s="22">
        <f t="shared" si="6"/>
        <v>0</v>
      </c>
      <c r="M73" s="22">
        <f t="shared" si="7"/>
        <v>0</v>
      </c>
      <c r="N73" s="22"/>
    </row>
    <row r="74" spans="1:14" x14ac:dyDescent="0.25">
      <c r="A74" s="4">
        <v>74</v>
      </c>
      <c r="B74" s="59" t="s">
        <v>310</v>
      </c>
      <c r="C74" s="52">
        <v>44409</v>
      </c>
      <c r="D74" s="22"/>
      <c r="E74" s="22"/>
      <c r="F74" s="22"/>
      <c r="G74" s="22"/>
      <c r="H74" s="22"/>
      <c r="I74" s="22"/>
      <c r="J74" s="22">
        <f t="shared" si="4"/>
        <v>0</v>
      </c>
      <c r="K74" s="22">
        <f t="shared" si="5"/>
        <v>0</v>
      </c>
      <c r="L74" s="22">
        <f t="shared" si="6"/>
        <v>0</v>
      </c>
      <c r="M74" s="22">
        <f t="shared" si="7"/>
        <v>0</v>
      </c>
      <c r="N74" s="22"/>
    </row>
    <row r="75" spans="1:14" x14ac:dyDescent="0.25">
      <c r="A75" s="4">
        <v>75</v>
      </c>
      <c r="B75" s="60" t="s">
        <v>321</v>
      </c>
      <c r="C75" s="52">
        <v>44378</v>
      </c>
      <c r="D75" s="22"/>
      <c r="E75" s="22"/>
      <c r="F75" s="22"/>
      <c r="G75" s="22"/>
      <c r="H75" s="22"/>
      <c r="I75" s="22"/>
      <c r="J75" s="22">
        <f t="shared" ref="J75:J80" si="8">E75-D75</f>
        <v>0</v>
      </c>
      <c r="K75" s="22">
        <f t="shared" ref="K75:K80" si="9">G75-F75</f>
        <v>0</v>
      </c>
      <c r="L75" s="22">
        <f t="shared" ref="L75:L80" si="10">I75-H75</f>
        <v>0</v>
      </c>
      <c r="M75" s="22">
        <f t="shared" ref="M75:M80" si="11">J75+K75+L75</f>
        <v>0</v>
      </c>
      <c r="N75" s="22"/>
    </row>
    <row r="76" spans="1:14" x14ac:dyDescent="0.25">
      <c r="A76" s="4">
        <v>76</v>
      </c>
      <c r="B76" s="60" t="s">
        <v>199</v>
      </c>
      <c r="C76" s="52">
        <v>44470</v>
      </c>
      <c r="D76" s="22"/>
      <c r="E76" s="22"/>
      <c r="F76" s="22"/>
      <c r="G76" s="22"/>
      <c r="H76" s="22"/>
      <c r="I76" s="22"/>
      <c r="J76" s="22">
        <f t="shared" si="8"/>
        <v>0</v>
      </c>
      <c r="K76" s="22">
        <f t="shared" si="9"/>
        <v>0</v>
      </c>
      <c r="L76" s="22">
        <f t="shared" si="10"/>
        <v>0</v>
      </c>
      <c r="M76" s="22">
        <f t="shared" si="11"/>
        <v>0</v>
      </c>
      <c r="N76" s="22"/>
    </row>
    <row r="77" spans="1:14" x14ac:dyDescent="0.25">
      <c r="A77" s="4">
        <v>77</v>
      </c>
      <c r="B77" s="60" t="s">
        <v>315</v>
      </c>
      <c r="C77" s="52">
        <v>44470</v>
      </c>
      <c r="D77" s="22"/>
      <c r="E77" s="22"/>
      <c r="F77" s="22"/>
      <c r="G77" s="22"/>
      <c r="H77" s="22"/>
      <c r="I77" s="22"/>
      <c r="J77" s="22">
        <f t="shared" si="8"/>
        <v>0</v>
      </c>
      <c r="K77" s="22">
        <f t="shared" si="9"/>
        <v>0</v>
      </c>
      <c r="L77" s="22">
        <f t="shared" si="10"/>
        <v>0</v>
      </c>
      <c r="M77" s="22">
        <f t="shared" si="11"/>
        <v>0</v>
      </c>
      <c r="N77" s="22"/>
    </row>
    <row r="78" spans="1:14" x14ac:dyDescent="0.25">
      <c r="A78" s="4">
        <v>78</v>
      </c>
      <c r="B78" s="60" t="s">
        <v>316</v>
      </c>
      <c r="C78" s="52">
        <v>44470</v>
      </c>
      <c r="D78" s="22"/>
      <c r="E78" s="22"/>
      <c r="F78" s="22"/>
      <c r="G78" s="22"/>
      <c r="H78" s="22"/>
      <c r="I78" s="22"/>
      <c r="J78" s="22">
        <f t="shared" si="8"/>
        <v>0</v>
      </c>
      <c r="K78" s="22">
        <f t="shared" si="9"/>
        <v>0</v>
      </c>
      <c r="L78" s="22">
        <f t="shared" si="10"/>
        <v>0</v>
      </c>
      <c r="M78" s="22">
        <f t="shared" si="11"/>
        <v>0</v>
      </c>
      <c r="N78" s="22"/>
    </row>
    <row r="79" spans="1:14" x14ac:dyDescent="0.25">
      <c r="A79" s="4">
        <v>79</v>
      </c>
      <c r="B79" s="60" t="s">
        <v>320</v>
      </c>
      <c r="C79" s="52">
        <v>44470</v>
      </c>
      <c r="D79" s="22"/>
      <c r="E79" s="22"/>
      <c r="F79" s="22"/>
      <c r="G79" s="22"/>
      <c r="H79" s="22"/>
      <c r="I79" s="22"/>
      <c r="J79" s="22">
        <f t="shared" si="8"/>
        <v>0</v>
      </c>
      <c r="K79" s="22">
        <f t="shared" si="9"/>
        <v>0</v>
      </c>
      <c r="L79" s="22">
        <f t="shared" si="10"/>
        <v>0</v>
      </c>
      <c r="M79" s="22">
        <f t="shared" si="11"/>
        <v>0</v>
      </c>
      <c r="N79" s="22"/>
    </row>
    <row r="80" spans="1:14" x14ac:dyDescent="0.25">
      <c r="A80" s="4">
        <v>80</v>
      </c>
      <c r="B80" s="60" t="s">
        <v>317</v>
      </c>
      <c r="C80" s="52">
        <v>44470</v>
      </c>
      <c r="D80" s="22"/>
      <c r="E80" s="22"/>
      <c r="F80" s="22"/>
      <c r="G80" s="22"/>
      <c r="H80" s="22"/>
      <c r="I80" s="22"/>
      <c r="J80" s="22">
        <f t="shared" si="8"/>
        <v>0</v>
      </c>
      <c r="K80" s="22">
        <f t="shared" si="9"/>
        <v>0</v>
      </c>
      <c r="L80" s="22">
        <f t="shared" si="10"/>
        <v>0</v>
      </c>
      <c r="M80" s="22">
        <f t="shared" si="11"/>
        <v>0</v>
      </c>
      <c r="N80" s="22"/>
    </row>
    <row r="81" spans="1:14" x14ac:dyDescent="0.25">
      <c r="A81" s="4">
        <v>81</v>
      </c>
      <c r="B81" s="6" t="s">
        <v>30</v>
      </c>
      <c r="C81" s="32">
        <v>39083</v>
      </c>
      <c r="D81" s="26"/>
      <c r="E81" s="26"/>
      <c r="F81" s="22"/>
      <c r="G81" s="22"/>
      <c r="H81" s="22"/>
      <c r="I81" s="22"/>
      <c r="J81" s="22">
        <f t="shared" ref="J81:J116" si="12">E81-D81</f>
        <v>0</v>
      </c>
      <c r="K81" s="22">
        <f t="shared" ref="K81:K116" si="13">G81-F81</f>
        <v>0</v>
      </c>
      <c r="L81" s="22">
        <f t="shared" ref="L81:L116" si="14">I81-H81</f>
        <v>0</v>
      </c>
      <c r="M81" s="22">
        <f t="shared" ref="M81:M116" si="15">J81+K81+L81</f>
        <v>0</v>
      </c>
      <c r="N81" s="22"/>
    </row>
    <row r="82" spans="1:14" x14ac:dyDescent="0.25">
      <c r="A82" s="4">
        <v>82</v>
      </c>
      <c r="B82" s="6" t="s">
        <v>31</v>
      </c>
      <c r="C82" s="32">
        <v>39083</v>
      </c>
      <c r="D82" s="26">
        <v>44517</v>
      </c>
      <c r="E82" s="26">
        <v>44549</v>
      </c>
      <c r="F82" s="22"/>
      <c r="G82" s="22"/>
      <c r="H82" s="22"/>
      <c r="I82" s="22"/>
      <c r="J82" s="22">
        <f t="shared" si="12"/>
        <v>32</v>
      </c>
      <c r="K82" s="22">
        <f t="shared" si="13"/>
        <v>0</v>
      </c>
      <c r="L82" s="22">
        <f t="shared" si="14"/>
        <v>0</v>
      </c>
      <c r="M82" s="22">
        <f t="shared" si="15"/>
        <v>32</v>
      </c>
      <c r="N82" s="22"/>
    </row>
    <row r="83" spans="1:14" x14ac:dyDescent="0.25">
      <c r="A83" s="4">
        <v>83</v>
      </c>
      <c r="B83" s="6" t="s">
        <v>33</v>
      </c>
      <c r="C83" s="32">
        <v>40940</v>
      </c>
      <c r="D83" s="26"/>
      <c r="E83" s="26"/>
      <c r="F83" s="22"/>
      <c r="G83" s="22"/>
      <c r="H83" s="22"/>
      <c r="I83" s="22"/>
      <c r="J83" s="22">
        <f t="shared" si="12"/>
        <v>0</v>
      </c>
      <c r="K83" s="22">
        <f t="shared" si="13"/>
        <v>0</v>
      </c>
      <c r="L83" s="22">
        <f t="shared" si="14"/>
        <v>0</v>
      </c>
      <c r="M83" s="22">
        <f t="shared" si="15"/>
        <v>0</v>
      </c>
      <c r="N83" s="22"/>
    </row>
    <row r="84" spans="1:14" x14ac:dyDescent="0.25">
      <c r="A84" s="4">
        <v>84</v>
      </c>
      <c r="B84" s="6" t="s">
        <v>55</v>
      </c>
      <c r="C84" s="32">
        <v>40848</v>
      </c>
      <c r="D84" s="26"/>
      <c r="E84" s="26"/>
      <c r="F84" s="22"/>
      <c r="G84" s="22"/>
      <c r="H84" s="22"/>
      <c r="I84" s="22"/>
      <c r="J84" s="22">
        <f t="shared" si="12"/>
        <v>0</v>
      </c>
      <c r="K84" s="22">
        <f t="shared" si="13"/>
        <v>0</v>
      </c>
      <c r="L84" s="22">
        <f t="shared" si="14"/>
        <v>0</v>
      </c>
      <c r="M84" s="22">
        <f t="shared" si="15"/>
        <v>0</v>
      </c>
      <c r="N84" s="22"/>
    </row>
    <row r="85" spans="1:14" x14ac:dyDescent="0.25">
      <c r="A85" s="4">
        <v>85</v>
      </c>
      <c r="B85" s="6" t="s">
        <v>48</v>
      </c>
      <c r="C85" s="35">
        <v>39173</v>
      </c>
      <c r="D85" s="26"/>
      <c r="E85" s="26"/>
      <c r="F85" s="22"/>
      <c r="G85" s="22"/>
      <c r="H85" s="22"/>
      <c r="I85" s="22"/>
      <c r="J85" s="22">
        <f t="shared" si="12"/>
        <v>0</v>
      </c>
      <c r="K85" s="22">
        <f t="shared" si="13"/>
        <v>0</v>
      </c>
      <c r="L85" s="22">
        <f t="shared" si="14"/>
        <v>0</v>
      </c>
      <c r="M85" s="22">
        <f t="shared" si="15"/>
        <v>0</v>
      </c>
      <c r="N85" s="22"/>
    </row>
    <row r="86" spans="1:14" x14ac:dyDescent="0.25">
      <c r="A86" s="4">
        <v>86</v>
      </c>
      <c r="B86" s="6" t="s">
        <v>287</v>
      </c>
      <c r="C86" s="32">
        <v>44075</v>
      </c>
      <c r="D86" s="26"/>
      <c r="E86" s="26"/>
      <c r="F86" s="22"/>
      <c r="G86" s="22"/>
      <c r="H86" s="22"/>
      <c r="I86" s="22"/>
      <c r="J86" s="22">
        <f t="shared" si="12"/>
        <v>0</v>
      </c>
      <c r="K86" s="22">
        <f t="shared" si="13"/>
        <v>0</v>
      </c>
      <c r="L86" s="22">
        <f t="shared" si="14"/>
        <v>0</v>
      </c>
      <c r="M86" s="22">
        <f t="shared" si="15"/>
        <v>0</v>
      </c>
      <c r="N86" s="22"/>
    </row>
    <row r="87" spans="1:14" x14ac:dyDescent="0.25">
      <c r="A87" s="4">
        <v>87</v>
      </c>
      <c r="B87" s="6" t="s">
        <v>311</v>
      </c>
      <c r="C87" s="32">
        <v>44378</v>
      </c>
      <c r="D87" s="26"/>
      <c r="E87" s="26"/>
      <c r="F87" s="22"/>
      <c r="G87" s="22"/>
      <c r="H87" s="22"/>
      <c r="I87" s="22"/>
      <c r="J87" s="22">
        <f t="shared" si="12"/>
        <v>0</v>
      </c>
      <c r="K87" s="22">
        <f t="shared" si="13"/>
        <v>0</v>
      </c>
      <c r="L87" s="22">
        <f t="shared" si="14"/>
        <v>0</v>
      </c>
      <c r="M87" s="22">
        <f t="shared" si="15"/>
        <v>0</v>
      </c>
      <c r="N87" s="22"/>
    </row>
    <row r="88" spans="1:14" x14ac:dyDescent="0.25">
      <c r="A88" s="4">
        <v>88</v>
      </c>
      <c r="B88" s="6" t="s">
        <v>34</v>
      </c>
      <c r="C88" s="32">
        <v>39083</v>
      </c>
      <c r="D88" s="26">
        <v>44285</v>
      </c>
      <c r="E88" s="26">
        <v>44303</v>
      </c>
      <c r="F88" s="26"/>
      <c r="G88" s="26"/>
      <c r="H88" s="26"/>
      <c r="I88" s="26"/>
      <c r="J88" s="22">
        <f t="shared" si="12"/>
        <v>18</v>
      </c>
      <c r="K88" s="22">
        <f t="shared" si="13"/>
        <v>0</v>
      </c>
      <c r="L88" s="22">
        <f t="shared" si="14"/>
        <v>0</v>
      </c>
      <c r="M88" s="22">
        <f t="shared" si="15"/>
        <v>18</v>
      </c>
      <c r="N88" s="22"/>
    </row>
    <row r="89" spans="1:14" x14ac:dyDescent="0.25">
      <c r="A89" s="4">
        <v>89</v>
      </c>
      <c r="B89" s="6" t="s">
        <v>37</v>
      </c>
      <c r="C89" s="32">
        <v>40544</v>
      </c>
      <c r="D89" s="26">
        <v>44510</v>
      </c>
      <c r="E89" s="26">
        <v>44561</v>
      </c>
      <c r="F89" s="22"/>
      <c r="G89" s="22"/>
      <c r="H89" s="22"/>
      <c r="I89" s="22"/>
      <c r="J89" s="22">
        <f t="shared" si="12"/>
        <v>51</v>
      </c>
      <c r="K89" s="22">
        <f t="shared" si="13"/>
        <v>0</v>
      </c>
      <c r="L89" s="22">
        <f t="shared" si="14"/>
        <v>0</v>
      </c>
      <c r="M89" s="22">
        <f t="shared" si="15"/>
        <v>51</v>
      </c>
    </row>
    <row r="90" spans="1:14" x14ac:dyDescent="0.25">
      <c r="A90" s="4">
        <v>90</v>
      </c>
      <c r="B90" s="6" t="s">
        <v>157</v>
      </c>
      <c r="C90" s="32">
        <v>41456</v>
      </c>
      <c r="D90" s="26"/>
      <c r="E90" s="26"/>
      <c r="F90" s="22"/>
      <c r="G90" s="22"/>
      <c r="H90" s="22"/>
      <c r="I90" s="22"/>
      <c r="J90" s="22">
        <f t="shared" si="12"/>
        <v>0</v>
      </c>
      <c r="K90" s="22">
        <f t="shared" si="13"/>
        <v>0</v>
      </c>
      <c r="L90" s="22">
        <f t="shared" si="14"/>
        <v>0</v>
      </c>
      <c r="M90" s="22">
        <f t="shared" si="15"/>
        <v>0</v>
      </c>
      <c r="N90" s="22"/>
    </row>
    <row r="91" spans="1:14" x14ac:dyDescent="0.25">
      <c r="A91" s="4">
        <v>91</v>
      </c>
      <c r="B91" s="6" t="s">
        <v>245</v>
      </c>
      <c r="C91" s="32">
        <v>42979</v>
      </c>
      <c r="D91" s="26"/>
      <c r="E91" s="26"/>
      <c r="F91" s="22"/>
      <c r="G91" s="22"/>
      <c r="H91" s="22"/>
      <c r="I91" s="22"/>
      <c r="J91" s="22">
        <f t="shared" si="12"/>
        <v>0</v>
      </c>
      <c r="K91" s="22">
        <f t="shared" si="13"/>
        <v>0</v>
      </c>
      <c r="L91" s="22">
        <f t="shared" si="14"/>
        <v>0</v>
      </c>
      <c r="M91" s="22">
        <f t="shared" si="15"/>
        <v>0</v>
      </c>
      <c r="N91" s="22"/>
    </row>
    <row r="92" spans="1:14" x14ac:dyDescent="0.25">
      <c r="A92" s="4">
        <v>92</v>
      </c>
      <c r="B92" s="6" t="s">
        <v>282</v>
      </c>
      <c r="C92" s="32">
        <v>44013</v>
      </c>
      <c r="D92" s="26"/>
      <c r="E92" s="26"/>
      <c r="F92" s="22"/>
      <c r="G92" s="22"/>
      <c r="H92" s="22"/>
      <c r="I92" s="22"/>
      <c r="J92" s="22">
        <f t="shared" si="12"/>
        <v>0</v>
      </c>
      <c r="K92" s="22">
        <f t="shared" si="13"/>
        <v>0</v>
      </c>
      <c r="L92" s="22">
        <f t="shared" si="14"/>
        <v>0</v>
      </c>
      <c r="M92" s="22">
        <f t="shared" si="15"/>
        <v>0</v>
      </c>
      <c r="N92" s="22"/>
    </row>
    <row r="93" spans="1:14" x14ac:dyDescent="0.25">
      <c r="A93" s="4">
        <v>93</v>
      </c>
      <c r="B93" s="6" t="s">
        <v>283</v>
      </c>
      <c r="C93" s="32">
        <v>44013</v>
      </c>
      <c r="D93" s="26"/>
      <c r="E93" s="26"/>
      <c r="F93" s="22"/>
      <c r="G93" s="22"/>
      <c r="H93" s="22"/>
      <c r="I93" s="22"/>
      <c r="J93" s="22">
        <f t="shared" si="12"/>
        <v>0</v>
      </c>
      <c r="K93" s="22">
        <f t="shared" si="13"/>
        <v>0</v>
      </c>
      <c r="L93" s="22">
        <f t="shared" si="14"/>
        <v>0</v>
      </c>
      <c r="M93" s="22">
        <f t="shared" si="15"/>
        <v>0</v>
      </c>
      <c r="N93" s="22"/>
    </row>
    <row r="94" spans="1:14" x14ac:dyDescent="0.25">
      <c r="A94" s="4">
        <v>94</v>
      </c>
      <c r="B94" s="6" t="s">
        <v>288</v>
      </c>
      <c r="C94" s="32">
        <v>44105</v>
      </c>
      <c r="D94" s="26"/>
      <c r="E94" s="26"/>
      <c r="F94" s="22"/>
      <c r="G94" s="22"/>
      <c r="H94" s="22"/>
      <c r="I94" s="22"/>
      <c r="J94" s="22">
        <f t="shared" si="12"/>
        <v>0</v>
      </c>
      <c r="K94" s="22">
        <f t="shared" si="13"/>
        <v>0</v>
      </c>
      <c r="L94" s="22">
        <f t="shared" si="14"/>
        <v>0</v>
      </c>
      <c r="M94" s="22">
        <f t="shared" si="15"/>
        <v>0</v>
      </c>
      <c r="N94" s="22"/>
    </row>
    <row r="95" spans="1:14" x14ac:dyDescent="0.25">
      <c r="A95" s="4">
        <v>95</v>
      </c>
      <c r="B95" s="6" t="s">
        <v>43</v>
      </c>
      <c r="C95" s="32">
        <v>40210</v>
      </c>
      <c r="D95" s="26">
        <v>44305</v>
      </c>
      <c r="E95" s="26">
        <v>44432</v>
      </c>
      <c r="F95" s="22"/>
      <c r="G95" s="22"/>
      <c r="H95" s="22"/>
      <c r="I95" s="22"/>
      <c r="J95" s="22">
        <f>E95-D95</f>
        <v>127</v>
      </c>
      <c r="K95" s="22">
        <f>G95-F95</f>
        <v>0</v>
      </c>
      <c r="L95" s="22">
        <f>I95-H95</f>
        <v>0</v>
      </c>
      <c r="M95" s="22">
        <f>J95+K95+L95</f>
        <v>127</v>
      </c>
      <c r="N95" s="22"/>
    </row>
    <row r="96" spans="1:14" x14ac:dyDescent="0.25">
      <c r="A96" s="4">
        <v>96</v>
      </c>
      <c r="B96" s="6" t="s">
        <v>318</v>
      </c>
      <c r="C96" s="32">
        <v>44470</v>
      </c>
      <c r="D96" s="26"/>
      <c r="E96" s="26"/>
      <c r="F96" s="22"/>
      <c r="G96" s="22"/>
      <c r="H96" s="22"/>
      <c r="I96" s="22"/>
      <c r="J96" s="22">
        <f>E96-D96</f>
        <v>0</v>
      </c>
      <c r="K96" s="22">
        <f>G96-F96</f>
        <v>0</v>
      </c>
      <c r="L96" s="22">
        <f>I96-H96</f>
        <v>0</v>
      </c>
      <c r="M96" s="22">
        <f>J96+K96+L96</f>
        <v>0</v>
      </c>
      <c r="N96" s="22"/>
    </row>
    <row r="97" spans="1:14" x14ac:dyDescent="0.25">
      <c r="A97" s="4">
        <v>97</v>
      </c>
      <c r="B97" s="6" t="s">
        <v>40</v>
      </c>
      <c r="C97" s="32">
        <v>39083</v>
      </c>
      <c r="D97" s="26">
        <v>44457</v>
      </c>
      <c r="E97" s="26">
        <v>44501</v>
      </c>
      <c r="F97" s="22"/>
      <c r="G97" s="22"/>
      <c r="H97" s="22"/>
      <c r="I97" s="22"/>
      <c r="J97" s="22">
        <f t="shared" si="12"/>
        <v>44</v>
      </c>
      <c r="K97" s="22">
        <f t="shared" si="13"/>
        <v>0</v>
      </c>
      <c r="L97" s="22">
        <f t="shared" si="14"/>
        <v>0</v>
      </c>
      <c r="M97" s="22">
        <f t="shared" si="15"/>
        <v>44</v>
      </c>
      <c r="N97" s="22"/>
    </row>
    <row r="98" spans="1:14" x14ac:dyDescent="0.25">
      <c r="A98" s="4">
        <v>98</v>
      </c>
      <c r="B98" s="6" t="s">
        <v>284</v>
      </c>
      <c r="C98" s="32">
        <v>43983</v>
      </c>
      <c r="D98" s="26"/>
      <c r="E98" s="26"/>
      <c r="F98" s="22"/>
      <c r="G98" s="22"/>
      <c r="H98" s="22"/>
      <c r="I98" s="22"/>
      <c r="J98" s="22">
        <f t="shared" si="12"/>
        <v>0</v>
      </c>
      <c r="K98" s="22">
        <f t="shared" si="13"/>
        <v>0</v>
      </c>
      <c r="L98" s="22">
        <f t="shared" si="14"/>
        <v>0</v>
      </c>
      <c r="M98" s="22">
        <f t="shared" si="15"/>
        <v>0</v>
      </c>
      <c r="N98" s="22"/>
    </row>
    <row r="99" spans="1:14" x14ac:dyDescent="0.25">
      <c r="A99" s="4">
        <v>99</v>
      </c>
      <c r="B99" s="6" t="s">
        <v>686</v>
      </c>
      <c r="C99" s="32">
        <v>42856</v>
      </c>
      <c r="D99" s="26"/>
      <c r="E99" s="26"/>
      <c r="F99" s="22"/>
      <c r="G99" s="22"/>
      <c r="H99" s="22"/>
      <c r="I99" s="22"/>
      <c r="J99" s="22">
        <f t="shared" si="12"/>
        <v>0</v>
      </c>
      <c r="K99" s="22">
        <f t="shared" si="13"/>
        <v>0</v>
      </c>
      <c r="L99" s="22">
        <f t="shared" si="14"/>
        <v>0</v>
      </c>
      <c r="M99" s="22">
        <f t="shared" si="15"/>
        <v>0</v>
      </c>
      <c r="N99" s="22"/>
    </row>
    <row r="100" spans="1:14" x14ac:dyDescent="0.25">
      <c r="A100" s="4">
        <v>100</v>
      </c>
      <c r="B100" s="6" t="s">
        <v>185</v>
      </c>
      <c r="C100" s="32">
        <v>41609</v>
      </c>
      <c r="D100" s="22"/>
      <c r="E100" s="22"/>
      <c r="F100" s="22"/>
      <c r="G100" s="22"/>
      <c r="H100" s="22"/>
      <c r="I100" s="22"/>
      <c r="J100" s="22">
        <f t="shared" si="12"/>
        <v>0</v>
      </c>
      <c r="K100" s="22">
        <f t="shared" si="13"/>
        <v>0</v>
      </c>
      <c r="L100" s="22">
        <f t="shared" si="14"/>
        <v>0</v>
      </c>
      <c r="M100" s="22">
        <f t="shared" si="15"/>
        <v>0</v>
      </c>
      <c r="N100" s="22"/>
    </row>
    <row r="101" spans="1:14" x14ac:dyDescent="0.25">
      <c r="A101" s="4">
        <v>101</v>
      </c>
      <c r="B101" s="6" t="s">
        <v>44</v>
      </c>
      <c r="C101" s="32">
        <v>39083</v>
      </c>
      <c r="D101" s="26">
        <v>44197</v>
      </c>
      <c r="E101" s="26">
        <v>44209</v>
      </c>
      <c r="F101" s="22"/>
      <c r="G101" s="22"/>
      <c r="H101" s="22"/>
      <c r="I101" s="22"/>
      <c r="J101" s="22">
        <f t="shared" si="12"/>
        <v>12</v>
      </c>
      <c r="K101" s="22">
        <f t="shared" si="13"/>
        <v>0</v>
      </c>
      <c r="L101" s="22">
        <f t="shared" si="14"/>
        <v>0</v>
      </c>
      <c r="M101" s="22">
        <f t="shared" si="15"/>
        <v>12</v>
      </c>
      <c r="N101" s="22"/>
    </row>
    <row r="102" spans="1:14" x14ac:dyDescent="0.25">
      <c r="A102" s="4">
        <v>102</v>
      </c>
      <c r="B102" s="6" t="s">
        <v>46</v>
      </c>
      <c r="C102" s="32">
        <v>39083</v>
      </c>
      <c r="D102" s="26"/>
      <c r="E102" s="26"/>
      <c r="F102" s="22"/>
      <c r="G102" s="22"/>
      <c r="H102" s="22"/>
      <c r="I102" s="22"/>
      <c r="J102" s="22">
        <f t="shared" si="12"/>
        <v>0</v>
      </c>
      <c r="K102" s="22">
        <f t="shared" si="13"/>
        <v>0</v>
      </c>
      <c r="L102" s="22">
        <f t="shared" si="14"/>
        <v>0</v>
      </c>
      <c r="M102" s="22">
        <f t="shared" si="15"/>
        <v>0</v>
      </c>
      <c r="N102" s="22"/>
    </row>
    <row r="103" spans="1:14" x14ac:dyDescent="0.25">
      <c r="A103" s="4">
        <v>103</v>
      </c>
      <c r="B103" s="6" t="s">
        <v>49</v>
      </c>
      <c r="C103" s="32">
        <v>39326</v>
      </c>
      <c r="D103" s="26"/>
      <c r="E103" s="26"/>
      <c r="F103" s="22"/>
      <c r="G103" s="22"/>
      <c r="H103" s="22"/>
      <c r="I103" s="22"/>
      <c r="J103" s="22">
        <f t="shared" si="12"/>
        <v>0</v>
      </c>
      <c r="K103" s="22">
        <f t="shared" si="13"/>
        <v>0</v>
      </c>
      <c r="L103" s="22">
        <f t="shared" si="14"/>
        <v>0</v>
      </c>
      <c r="M103" s="22">
        <f t="shared" si="15"/>
        <v>0</v>
      </c>
      <c r="N103" s="22"/>
    </row>
    <row r="104" spans="1:14" x14ac:dyDescent="0.25">
      <c r="A104" s="4">
        <v>104</v>
      </c>
      <c r="B104" s="6" t="s">
        <v>51</v>
      </c>
      <c r="C104" s="32">
        <v>39783</v>
      </c>
      <c r="D104" s="26">
        <v>44509</v>
      </c>
      <c r="E104" s="26">
        <v>44531</v>
      </c>
      <c r="F104" s="22"/>
      <c r="G104" s="22"/>
      <c r="H104" s="22"/>
      <c r="I104" s="22"/>
      <c r="J104" s="22">
        <f t="shared" si="12"/>
        <v>22</v>
      </c>
      <c r="K104" s="22">
        <f t="shared" si="13"/>
        <v>0</v>
      </c>
      <c r="L104" s="22">
        <f t="shared" si="14"/>
        <v>0</v>
      </c>
      <c r="M104" s="22">
        <f t="shared" si="15"/>
        <v>22</v>
      </c>
      <c r="N104" s="22"/>
    </row>
    <row r="105" spans="1:14" x14ac:dyDescent="0.25">
      <c r="A105" s="4">
        <v>105</v>
      </c>
      <c r="B105" s="6" t="s">
        <v>54</v>
      </c>
      <c r="C105" s="32">
        <v>40695</v>
      </c>
      <c r="D105" s="26">
        <v>44268</v>
      </c>
      <c r="E105" s="26">
        <v>44431</v>
      </c>
      <c r="F105" s="22"/>
      <c r="G105" s="22"/>
      <c r="H105" s="22"/>
      <c r="I105" s="22"/>
      <c r="J105" s="22">
        <f t="shared" si="12"/>
        <v>163</v>
      </c>
      <c r="K105" s="22">
        <f t="shared" si="13"/>
        <v>0</v>
      </c>
      <c r="L105" s="22">
        <f t="shared" si="14"/>
        <v>0</v>
      </c>
      <c r="M105" s="22">
        <f t="shared" si="15"/>
        <v>163</v>
      </c>
      <c r="N105" s="22"/>
    </row>
    <row r="106" spans="1:14" x14ac:dyDescent="0.25">
      <c r="A106" s="4">
        <v>106</v>
      </c>
      <c r="B106" s="6" t="s">
        <v>186</v>
      </c>
      <c r="C106" s="32">
        <v>41791</v>
      </c>
      <c r="D106" s="26"/>
      <c r="E106" s="26"/>
      <c r="F106" s="22"/>
      <c r="G106" s="22"/>
      <c r="H106" s="22"/>
      <c r="I106" s="22"/>
      <c r="J106" s="22">
        <f t="shared" si="12"/>
        <v>0</v>
      </c>
      <c r="K106" s="22">
        <f t="shared" si="13"/>
        <v>0</v>
      </c>
      <c r="L106" s="22">
        <f t="shared" si="14"/>
        <v>0</v>
      </c>
      <c r="M106" s="22">
        <f t="shared" si="15"/>
        <v>0</v>
      </c>
      <c r="N106" s="22"/>
    </row>
    <row r="107" spans="1:14" x14ac:dyDescent="0.25">
      <c r="A107" s="4">
        <v>107</v>
      </c>
      <c r="B107" s="6" t="s">
        <v>188</v>
      </c>
      <c r="C107" s="32">
        <v>41852</v>
      </c>
      <c r="D107" s="26"/>
      <c r="E107" s="26"/>
      <c r="F107" s="22"/>
      <c r="G107" s="22"/>
      <c r="H107" s="22"/>
      <c r="I107" s="22"/>
      <c r="J107" s="22">
        <f t="shared" si="12"/>
        <v>0</v>
      </c>
      <c r="K107" s="22">
        <f t="shared" si="13"/>
        <v>0</v>
      </c>
      <c r="L107" s="22">
        <f t="shared" si="14"/>
        <v>0</v>
      </c>
      <c r="M107" s="22">
        <f t="shared" si="15"/>
        <v>0</v>
      </c>
      <c r="N107" s="22"/>
    </row>
    <row r="108" spans="1:14" x14ac:dyDescent="0.25">
      <c r="A108" s="4">
        <v>108</v>
      </c>
      <c r="B108" s="6" t="s">
        <v>203</v>
      </c>
      <c r="C108" s="32">
        <v>42156</v>
      </c>
      <c r="D108" s="26"/>
      <c r="E108" s="26"/>
      <c r="F108" s="22"/>
      <c r="G108" s="22"/>
      <c r="H108" s="22"/>
      <c r="I108" s="22"/>
      <c r="J108" s="22">
        <f t="shared" si="12"/>
        <v>0</v>
      </c>
      <c r="K108" s="22">
        <f t="shared" si="13"/>
        <v>0</v>
      </c>
      <c r="L108" s="22">
        <f t="shared" si="14"/>
        <v>0</v>
      </c>
      <c r="M108" s="22">
        <f t="shared" si="15"/>
        <v>0</v>
      </c>
      <c r="N108" s="22"/>
    </row>
    <row r="109" spans="1:14" x14ac:dyDescent="0.25">
      <c r="A109" s="4">
        <v>109</v>
      </c>
      <c r="B109" s="6" t="s">
        <v>204</v>
      </c>
      <c r="C109" s="32">
        <v>42140</v>
      </c>
      <c r="D109" s="26">
        <v>44197</v>
      </c>
      <c r="E109" s="26">
        <v>44255</v>
      </c>
      <c r="F109" s="22"/>
      <c r="G109" s="22"/>
      <c r="H109" s="22"/>
      <c r="I109" s="22"/>
      <c r="J109" s="22">
        <f t="shared" si="12"/>
        <v>58</v>
      </c>
      <c r="K109" s="22">
        <f t="shared" si="13"/>
        <v>0</v>
      </c>
      <c r="L109" s="22">
        <f t="shared" si="14"/>
        <v>0</v>
      </c>
      <c r="M109" s="22">
        <f t="shared" si="15"/>
        <v>58</v>
      </c>
      <c r="N109" s="22"/>
    </row>
    <row r="110" spans="1:14" x14ac:dyDescent="0.25">
      <c r="A110" s="4">
        <v>110</v>
      </c>
      <c r="B110" s="6" t="s">
        <v>289</v>
      </c>
      <c r="C110" s="55">
        <v>42461</v>
      </c>
      <c r="D110" s="26"/>
      <c r="E110" s="26"/>
      <c r="F110" s="22"/>
      <c r="G110" s="22"/>
      <c r="H110" s="22"/>
      <c r="I110" s="22"/>
      <c r="J110" s="22">
        <f t="shared" si="12"/>
        <v>0</v>
      </c>
      <c r="K110" s="22">
        <f t="shared" si="13"/>
        <v>0</v>
      </c>
      <c r="L110" s="22">
        <f t="shared" si="14"/>
        <v>0</v>
      </c>
      <c r="M110" s="22">
        <f t="shared" si="15"/>
        <v>0</v>
      </c>
      <c r="N110" s="22"/>
    </row>
    <row r="111" spans="1:14" x14ac:dyDescent="0.25">
      <c r="A111" s="4">
        <v>111</v>
      </c>
      <c r="B111" s="6" t="s">
        <v>249</v>
      </c>
      <c r="C111" s="55">
        <v>43040</v>
      </c>
      <c r="D111" s="26"/>
      <c r="E111" s="26"/>
      <c r="F111" s="22"/>
      <c r="G111" s="22"/>
      <c r="H111" s="22"/>
      <c r="I111" s="22"/>
      <c r="J111" s="22">
        <f t="shared" si="12"/>
        <v>0</v>
      </c>
      <c r="K111" s="22">
        <f t="shared" si="13"/>
        <v>0</v>
      </c>
      <c r="L111" s="22">
        <f t="shared" si="14"/>
        <v>0</v>
      </c>
      <c r="M111" s="22">
        <f t="shared" si="15"/>
        <v>0</v>
      </c>
      <c r="N111" s="22"/>
    </row>
    <row r="112" spans="1:14" x14ac:dyDescent="0.25">
      <c r="A112" s="4">
        <v>112</v>
      </c>
      <c r="B112" s="6" t="s">
        <v>274</v>
      </c>
      <c r="C112" s="55">
        <v>43678</v>
      </c>
      <c r="D112" s="26"/>
      <c r="E112" s="26"/>
      <c r="F112" s="22"/>
      <c r="G112" s="22"/>
      <c r="H112" s="22"/>
      <c r="I112" s="22"/>
      <c r="J112" s="22">
        <f t="shared" si="12"/>
        <v>0</v>
      </c>
      <c r="K112" s="22">
        <f t="shared" si="13"/>
        <v>0</v>
      </c>
      <c r="L112" s="22">
        <f t="shared" si="14"/>
        <v>0</v>
      </c>
      <c r="M112" s="22">
        <f t="shared" si="15"/>
        <v>0</v>
      </c>
      <c r="N112" s="22"/>
    </row>
    <row r="113" spans="1:14" x14ac:dyDescent="0.25">
      <c r="A113" s="4">
        <v>113</v>
      </c>
      <c r="B113" s="41" t="s">
        <v>312</v>
      </c>
      <c r="C113" s="33">
        <v>44256</v>
      </c>
      <c r="D113" s="22"/>
      <c r="E113" s="22"/>
      <c r="F113" s="22"/>
      <c r="G113" s="22"/>
      <c r="H113" s="22"/>
      <c r="I113" s="22"/>
      <c r="J113" s="22">
        <f t="shared" si="12"/>
        <v>0</v>
      </c>
      <c r="K113" s="22">
        <f t="shared" si="13"/>
        <v>0</v>
      </c>
      <c r="L113" s="22">
        <f t="shared" si="14"/>
        <v>0</v>
      </c>
      <c r="M113" s="22">
        <f t="shared" si="15"/>
        <v>0</v>
      </c>
      <c r="N113" s="22"/>
    </row>
    <row r="114" spans="1:14" x14ac:dyDescent="0.25">
      <c r="A114" s="4">
        <v>114</v>
      </c>
      <c r="B114" s="41" t="s">
        <v>313</v>
      </c>
      <c r="C114" s="33">
        <v>44348</v>
      </c>
      <c r="D114" s="22"/>
      <c r="E114" s="22"/>
      <c r="F114" s="22"/>
      <c r="G114" s="22"/>
      <c r="H114" s="22"/>
      <c r="I114" s="22"/>
      <c r="J114" s="22">
        <f t="shared" si="12"/>
        <v>0</v>
      </c>
      <c r="K114" s="22">
        <f t="shared" si="13"/>
        <v>0</v>
      </c>
      <c r="L114" s="22">
        <f t="shared" si="14"/>
        <v>0</v>
      </c>
      <c r="M114" s="22">
        <f t="shared" si="15"/>
        <v>0</v>
      </c>
      <c r="N114" s="22"/>
    </row>
    <row r="115" spans="1:14" x14ac:dyDescent="0.25">
      <c r="A115" s="4">
        <v>115</v>
      </c>
      <c r="B115" s="41" t="s">
        <v>53</v>
      </c>
      <c r="C115" s="33">
        <v>44470</v>
      </c>
      <c r="D115" s="22"/>
      <c r="E115" s="22"/>
      <c r="F115" s="22"/>
      <c r="G115" s="22"/>
      <c r="H115" s="22"/>
      <c r="I115" s="22"/>
      <c r="J115" s="22">
        <f t="shared" si="12"/>
        <v>0</v>
      </c>
      <c r="K115" s="22">
        <f t="shared" si="13"/>
        <v>0</v>
      </c>
      <c r="L115" s="22">
        <f t="shared" si="14"/>
        <v>0</v>
      </c>
      <c r="M115" s="22">
        <f t="shared" si="15"/>
        <v>0</v>
      </c>
      <c r="N115" s="22"/>
    </row>
    <row r="116" spans="1:14" x14ac:dyDescent="0.25">
      <c r="A116" s="4">
        <v>116</v>
      </c>
      <c r="B116" s="41" t="s">
        <v>319</v>
      </c>
      <c r="C116" s="33">
        <v>44470</v>
      </c>
      <c r="D116" s="22"/>
      <c r="E116" s="22"/>
      <c r="F116" s="22"/>
      <c r="G116" s="22"/>
      <c r="H116" s="22"/>
      <c r="I116" s="22"/>
      <c r="J116" s="22">
        <f t="shared" si="12"/>
        <v>0</v>
      </c>
      <c r="K116" s="22">
        <f t="shared" si="13"/>
        <v>0</v>
      </c>
      <c r="L116" s="22">
        <f t="shared" si="14"/>
        <v>0</v>
      </c>
      <c r="M116" s="22">
        <f t="shared" si="15"/>
        <v>0</v>
      </c>
      <c r="N116" s="22"/>
    </row>
    <row r="121" spans="1:14" x14ac:dyDescent="0.25">
      <c r="A121" s="4">
        <v>26</v>
      </c>
      <c r="B121" s="6" t="s">
        <v>197</v>
      </c>
      <c r="C121" s="44">
        <v>42064</v>
      </c>
      <c r="D121" s="26"/>
      <c r="E121" s="26"/>
      <c r="F121" s="22"/>
      <c r="G121" s="22"/>
      <c r="H121" s="22"/>
      <c r="I121" s="22"/>
      <c r="J121" s="22">
        <f t="shared" ref="J121:J126" si="16">E121-D121</f>
        <v>0</v>
      </c>
      <c r="K121" s="22">
        <f t="shared" ref="K121:K126" si="17">G121-F121</f>
        <v>0</v>
      </c>
      <c r="L121" s="22">
        <f t="shared" ref="L121:L126" si="18">I121-H121</f>
        <v>0</v>
      </c>
      <c r="M121" s="22">
        <f t="shared" ref="M121:M126" si="19">J121+K121+L121</f>
        <v>0</v>
      </c>
      <c r="N121" s="22"/>
    </row>
    <row r="122" spans="1:14" x14ac:dyDescent="0.25">
      <c r="A122" s="4">
        <v>50</v>
      </c>
      <c r="B122" s="22" t="s">
        <v>260</v>
      </c>
      <c r="C122" s="52">
        <v>43405</v>
      </c>
      <c r="D122" s="22"/>
      <c r="E122" s="22"/>
      <c r="F122" s="22"/>
      <c r="G122" s="22"/>
      <c r="H122" s="22"/>
      <c r="I122" s="22"/>
      <c r="J122" s="22">
        <f t="shared" si="16"/>
        <v>0</v>
      </c>
      <c r="K122" s="22">
        <f t="shared" si="17"/>
        <v>0</v>
      </c>
      <c r="L122" s="22">
        <f t="shared" si="18"/>
        <v>0</v>
      </c>
      <c r="M122" s="22">
        <f t="shared" si="19"/>
        <v>0</v>
      </c>
      <c r="N122" s="22"/>
    </row>
    <row r="123" spans="1:14" x14ac:dyDescent="0.25">
      <c r="A123" s="4">
        <v>71</v>
      </c>
      <c r="B123" s="6" t="s">
        <v>266</v>
      </c>
      <c r="C123" s="32">
        <v>43617</v>
      </c>
      <c r="D123" s="26"/>
      <c r="E123" s="26"/>
      <c r="F123" s="22"/>
      <c r="G123" s="22"/>
      <c r="H123" s="22"/>
      <c r="I123" s="22"/>
      <c r="J123" s="22">
        <f t="shared" si="16"/>
        <v>0</v>
      </c>
      <c r="K123" s="22">
        <f t="shared" si="17"/>
        <v>0</v>
      </c>
      <c r="L123" s="22">
        <f t="shared" si="18"/>
        <v>0</v>
      </c>
      <c r="M123" s="22">
        <f t="shared" si="19"/>
        <v>0</v>
      </c>
      <c r="N123" s="22"/>
    </row>
    <row r="124" spans="1:14" x14ac:dyDescent="0.25">
      <c r="A124" s="4">
        <v>89</v>
      </c>
      <c r="B124" s="6" t="s">
        <v>53</v>
      </c>
      <c r="C124" s="32">
        <v>40664</v>
      </c>
      <c r="D124" s="26"/>
      <c r="E124" s="26"/>
      <c r="F124" s="22"/>
      <c r="G124" s="22"/>
      <c r="H124" s="22"/>
      <c r="I124" s="22"/>
      <c r="J124" s="22">
        <f t="shared" si="16"/>
        <v>0</v>
      </c>
      <c r="K124" s="22">
        <f t="shared" si="17"/>
        <v>0</v>
      </c>
      <c r="L124" s="22">
        <f t="shared" si="18"/>
        <v>0</v>
      </c>
      <c r="M124" s="22">
        <f t="shared" si="19"/>
        <v>0</v>
      </c>
      <c r="N124" s="22"/>
    </row>
    <row r="125" spans="1:14" x14ac:dyDescent="0.25">
      <c r="A125" s="4">
        <v>27</v>
      </c>
      <c r="B125" s="6" t="s">
        <v>199</v>
      </c>
      <c r="C125" s="44">
        <v>42156</v>
      </c>
      <c r="D125" s="26"/>
      <c r="E125" s="26"/>
      <c r="F125" s="26"/>
      <c r="G125" s="26"/>
      <c r="H125" s="22"/>
      <c r="I125" s="22"/>
      <c r="J125" s="22">
        <f t="shared" si="16"/>
        <v>0</v>
      </c>
      <c r="K125" s="22">
        <f t="shared" si="17"/>
        <v>0</v>
      </c>
      <c r="L125" s="22">
        <f t="shared" si="18"/>
        <v>0</v>
      </c>
      <c r="M125" s="22">
        <f t="shared" si="19"/>
        <v>0</v>
      </c>
      <c r="N125" s="22"/>
    </row>
    <row r="126" spans="1:14" x14ac:dyDescent="0.25">
      <c r="A126" s="4">
        <v>4</v>
      </c>
      <c r="B126" s="6" t="s">
        <v>42</v>
      </c>
      <c r="C126" s="32">
        <v>42186</v>
      </c>
      <c r="D126" s="26"/>
      <c r="E126" s="26"/>
      <c r="F126" s="22"/>
      <c r="G126" s="22"/>
      <c r="H126" s="22"/>
      <c r="I126" s="22"/>
      <c r="J126" s="22">
        <f t="shared" si="16"/>
        <v>0</v>
      </c>
      <c r="K126" s="22">
        <f t="shared" si="17"/>
        <v>0</v>
      </c>
      <c r="L126" s="22">
        <f t="shared" si="18"/>
        <v>0</v>
      </c>
      <c r="M126" s="22">
        <f t="shared" si="19"/>
        <v>0</v>
      </c>
      <c r="N126" s="22"/>
    </row>
    <row r="127" spans="1:14" x14ac:dyDescent="0.25">
      <c r="A127" s="4">
        <v>36</v>
      </c>
      <c r="B127" s="6" t="s">
        <v>240</v>
      </c>
      <c r="C127" s="52">
        <v>42795</v>
      </c>
      <c r="D127" s="26"/>
      <c r="E127" s="26"/>
      <c r="F127" s="22"/>
      <c r="G127" s="22"/>
      <c r="H127" s="22"/>
      <c r="I127" s="22"/>
      <c r="J127" s="22">
        <f t="shared" ref="J127:J132" si="20">E127-D127</f>
        <v>0</v>
      </c>
      <c r="K127" s="22">
        <f t="shared" ref="K127:K132" si="21">G127-F127</f>
        <v>0</v>
      </c>
      <c r="L127" s="22">
        <f t="shared" ref="L127:L132" si="22">I127-H127</f>
        <v>0</v>
      </c>
      <c r="M127" s="22">
        <f t="shared" ref="M127:M132" si="23">J127+K127+L127</f>
        <v>0</v>
      </c>
      <c r="N127" s="22"/>
    </row>
    <row r="128" spans="1:14" x14ac:dyDescent="0.25">
      <c r="A128" s="4">
        <v>37</v>
      </c>
      <c r="B128" s="6" t="s">
        <v>290</v>
      </c>
      <c r="C128" s="52">
        <v>42856</v>
      </c>
      <c r="D128" s="26"/>
      <c r="E128" s="26"/>
      <c r="F128" s="22"/>
      <c r="G128" s="22"/>
      <c r="H128" s="22"/>
      <c r="I128" s="22"/>
      <c r="J128" s="22">
        <f t="shared" si="20"/>
        <v>0</v>
      </c>
      <c r="K128" s="22">
        <f t="shared" si="21"/>
        <v>0</v>
      </c>
      <c r="L128" s="22">
        <f t="shared" si="22"/>
        <v>0</v>
      </c>
      <c r="M128" s="22">
        <f t="shared" si="23"/>
        <v>0</v>
      </c>
      <c r="N128" s="22"/>
    </row>
    <row r="129" spans="1:14" x14ac:dyDescent="0.25">
      <c r="A129" s="4">
        <v>22</v>
      </c>
      <c r="B129" s="6" t="s">
        <v>164</v>
      </c>
      <c r="C129" s="52">
        <v>41548</v>
      </c>
      <c r="D129" s="26">
        <v>44284</v>
      </c>
      <c r="E129" s="26">
        <v>44469</v>
      </c>
      <c r="F129" s="22"/>
      <c r="G129" s="22"/>
      <c r="H129" s="22"/>
      <c r="I129" s="22"/>
      <c r="J129" s="22">
        <f t="shared" si="20"/>
        <v>185</v>
      </c>
      <c r="K129" s="22">
        <f t="shared" si="21"/>
        <v>0</v>
      </c>
      <c r="L129" s="22">
        <f t="shared" si="22"/>
        <v>0</v>
      </c>
      <c r="M129" s="22">
        <f t="shared" si="23"/>
        <v>185</v>
      </c>
      <c r="N129" s="22"/>
    </row>
    <row r="130" spans="1:14" x14ac:dyDescent="0.25">
      <c r="A130" s="4">
        <v>26</v>
      </c>
      <c r="B130" s="6" t="s">
        <v>200</v>
      </c>
      <c r="C130" s="44">
        <v>42248</v>
      </c>
      <c r="D130" s="26"/>
      <c r="E130" s="26"/>
      <c r="F130" s="22"/>
      <c r="G130" s="22"/>
      <c r="H130" s="22"/>
      <c r="I130" s="22"/>
      <c r="J130" s="22">
        <f t="shared" si="20"/>
        <v>0</v>
      </c>
      <c r="K130" s="22">
        <f t="shared" si="21"/>
        <v>0</v>
      </c>
      <c r="L130" s="22">
        <f t="shared" si="22"/>
        <v>0</v>
      </c>
      <c r="M130" s="22">
        <f t="shared" si="23"/>
        <v>0</v>
      </c>
      <c r="N130" s="22"/>
    </row>
    <row r="131" spans="1:14" x14ac:dyDescent="0.25">
      <c r="A131" s="4">
        <v>19</v>
      </c>
      <c r="B131" s="6" t="s">
        <v>136</v>
      </c>
      <c r="C131" s="52">
        <v>41214</v>
      </c>
      <c r="D131" s="26"/>
      <c r="E131" s="26"/>
      <c r="F131" s="26"/>
      <c r="G131" s="26"/>
      <c r="H131" s="22"/>
      <c r="I131" s="22"/>
      <c r="J131" s="22">
        <f t="shared" si="20"/>
        <v>0</v>
      </c>
      <c r="K131" s="22">
        <f t="shared" si="21"/>
        <v>0</v>
      </c>
      <c r="L131" s="22">
        <f t="shared" si="22"/>
        <v>0</v>
      </c>
      <c r="M131" s="22">
        <f t="shared" si="23"/>
        <v>0</v>
      </c>
      <c r="N131" s="22"/>
    </row>
    <row r="132" spans="1:14" x14ac:dyDescent="0.25">
      <c r="A132" s="4">
        <v>107</v>
      </c>
      <c r="B132" s="6" t="s">
        <v>248</v>
      </c>
      <c r="C132" s="55">
        <v>43040</v>
      </c>
      <c r="D132" s="22"/>
      <c r="E132" s="22"/>
      <c r="F132" s="22"/>
      <c r="G132" s="22"/>
      <c r="H132" s="22"/>
      <c r="I132" s="22"/>
      <c r="J132" s="22">
        <f t="shared" si="20"/>
        <v>0</v>
      </c>
      <c r="K132" s="22">
        <f t="shared" si="21"/>
        <v>0</v>
      </c>
      <c r="L132" s="22">
        <f t="shared" si="22"/>
        <v>0</v>
      </c>
      <c r="M132" s="22">
        <f t="shared" si="23"/>
        <v>0</v>
      </c>
      <c r="N132" s="22"/>
    </row>
    <row r="133" spans="1:14" x14ac:dyDescent="0.25">
      <c r="A133" s="4">
        <v>49</v>
      </c>
      <c r="B133" s="56" t="s">
        <v>264</v>
      </c>
      <c r="C133" s="52">
        <v>43617</v>
      </c>
      <c r="D133" s="26">
        <v>44401</v>
      </c>
      <c r="E133" s="26">
        <v>44439</v>
      </c>
      <c r="F133" s="22"/>
      <c r="G133" s="22"/>
      <c r="H133" s="22"/>
      <c r="I133" s="22"/>
      <c r="J133" s="22">
        <f>E133-D133</f>
        <v>38</v>
      </c>
      <c r="K133" s="22">
        <f>G133-F133</f>
        <v>0</v>
      </c>
      <c r="L133" s="22">
        <f>I133-H133</f>
        <v>0</v>
      </c>
      <c r="M133" s="22">
        <f>J133+K133+L133</f>
        <v>38</v>
      </c>
      <c r="N133" s="22" t="s">
        <v>216</v>
      </c>
    </row>
    <row r="134" spans="1:14" x14ac:dyDescent="0.25">
      <c r="A134" s="4">
        <v>19</v>
      </c>
      <c r="B134" s="6" t="s">
        <v>26</v>
      </c>
      <c r="C134" s="52">
        <v>41000</v>
      </c>
      <c r="D134" s="26">
        <v>44231</v>
      </c>
      <c r="E134" s="26">
        <v>44505</v>
      </c>
      <c r="F134" s="22"/>
      <c r="G134" s="22"/>
      <c r="H134" s="22"/>
      <c r="I134" s="22"/>
      <c r="J134" s="22">
        <f>E134-D134</f>
        <v>274</v>
      </c>
      <c r="K134" s="22">
        <f>G134-F134</f>
        <v>0</v>
      </c>
      <c r="L134" s="22">
        <f>I134-H134</f>
        <v>0</v>
      </c>
      <c r="M134" s="22">
        <f>J134+K134+L134</f>
        <v>274</v>
      </c>
      <c r="N134" s="22"/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0"/>
  <sheetViews>
    <sheetView topLeftCell="A51" workbookViewId="0">
      <selection activeCell="B80" sqref="B80"/>
    </sheetView>
  </sheetViews>
  <sheetFormatPr defaultRowHeight="15" x14ac:dyDescent="0.25"/>
  <cols>
    <col min="1" max="1" width="5.42578125" bestFit="1" customWidth="1"/>
    <col min="2" max="2" width="34.85546875" bestFit="1" customWidth="1"/>
    <col min="3" max="3" width="8.85546875" customWidth="1"/>
    <col min="4" max="4" width="11.5703125" customWidth="1"/>
    <col min="5" max="5" width="12" customWidth="1"/>
    <col min="6" max="9" width="10.7109375" bestFit="1" customWidth="1"/>
    <col min="10" max="11" width="4" bestFit="1" customWidth="1"/>
    <col min="12" max="12" width="3" bestFit="1" customWidth="1"/>
    <col min="13" max="13" width="6.5703125" bestFit="1" customWidth="1"/>
    <col min="14" max="14" width="16.140625" bestFit="1" customWidth="1"/>
  </cols>
  <sheetData>
    <row r="1" spans="1:14" x14ac:dyDescent="0.25">
      <c r="A1" s="3" t="s">
        <v>130</v>
      </c>
      <c r="B1" s="9" t="s">
        <v>126</v>
      </c>
      <c r="C1" s="9" t="s">
        <v>131</v>
      </c>
      <c r="D1" s="150" t="s">
        <v>127</v>
      </c>
      <c r="E1" s="150"/>
      <c r="F1" s="150" t="s">
        <v>128</v>
      </c>
      <c r="G1" s="150"/>
      <c r="H1" s="150" t="s">
        <v>215</v>
      </c>
      <c r="I1" s="150"/>
      <c r="J1" s="22">
        <v>1</v>
      </c>
      <c r="K1" s="22">
        <v>2</v>
      </c>
      <c r="L1" s="22">
        <v>3</v>
      </c>
      <c r="M1" s="22" t="s">
        <v>72</v>
      </c>
      <c r="N1" s="51" t="s">
        <v>217</v>
      </c>
    </row>
    <row r="2" spans="1:14" x14ac:dyDescent="0.25">
      <c r="A2" s="4">
        <v>1</v>
      </c>
      <c r="B2" s="6" t="s">
        <v>1</v>
      </c>
      <c r="C2" s="32">
        <v>39295</v>
      </c>
      <c r="D2">
        <v>0</v>
      </c>
      <c r="E2">
        <v>0</v>
      </c>
      <c r="F2" s="26"/>
      <c r="G2" s="26"/>
      <c r="H2" s="26"/>
      <c r="I2" s="26"/>
      <c r="J2" s="22">
        <f t="shared" ref="J2:J56" si="0">E2-D2</f>
        <v>0</v>
      </c>
      <c r="K2" s="22">
        <f>G2-F2</f>
        <v>0</v>
      </c>
      <c r="L2" s="22">
        <f>I2-H2</f>
        <v>0</v>
      </c>
      <c r="M2" s="22">
        <f>J2+K2+L2</f>
        <v>0</v>
      </c>
      <c r="N2" s="22"/>
    </row>
    <row r="3" spans="1:14" x14ac:dyDescent="0.25">
      <c r="A3" s="4">
        <v>2</v>
      </c>
      <c r="B3" s="6" t="s">
        <v>179</v>
      </c>
      <c r="C3" s="32">
        <v>41883</v>
      </c>
      <c r="D3" s="26">
        <v>43853</v>
      </c>
      <c r="E3" s="26">
        <v>43884</v>
      </c>
      <c r="F3" s="62">
        <v>44174</v>
      </c>
      <c r="G3" s="62">
        <v>44180</v>
      </c>
      <c r="H3" s="22"/>
      <c r="I3" s="22"/>
      <c r="J3" s="22">
        <f t="shared" si="0"/>
        <v>31</v>
      </c>
      <c r="K3" s="22">
        <f t="shared" ref="K3:K56" si="1">G3-F3</f>
        <v>6</v>
      </c>
      <c r="L3" s="22">
        <f t="shared" ref="L3:L56" si="2">I3-H3</f>
        <v>0</v>
      </c>
      <c r="M3" s="22">
        <f t="shared" ref="M3:M56" si="3">J3+K3+L3</f>
        <v>37</v>
      </c>
      <c r="N3" s="22"/>
    </row>
    <row r="4" spans="1:14" x14ac:dyDescent="0.25">
      <c r="A4" s="4">
        <v>3</v>
      </c>
      <c r="B4" s="6" t="s">
        <v>180</v>
      </c>
      <c r="C4" s="32">
        <v>41883</v>
      </c>
      <c r="D4" s="26"/>
      <c r="E4" s="26"/>
      <c r="F4" s="26"/>
      <c r="G4" s="26"/>
      <c r="H4" s="22"/>
      <c r="I4" s="22"/>
      <c r="J4" s="22">
        <f t="shared" si="0"/>
        <v>0</v>
      </c>
      <c r="K4" s="22">
        <f t="shared" si="1"/>
        <v>0</v>
      </c>
      <c r="L4" s="22">
        <f t="shared" si="2"/>
        <v>0</v>
      </c>
      <c r="M4" s="22">
        <f t="shared" si="3"/>
        <v>0</v>
      </c>
      <c r="N4" s="22"/>
    </row>
    <row r="5" spans="1:14" x14ac:dyDescent="0.25">
      <c r="A5" s="4">
        <v>4</v>
      </c>
      <c r="B5" s="6" t="s">
        <v>42</v>
      </c>
      <c r="C5" s="32">
        <v>42186</v>
      </c>
      <c r="D5" s="26">
        <v>43853</v>
      </c>
      <c r="E5" s="26">
        <v>43899</v>
      </c>
      <c r="F5" s="22"/>
      <c r="G5" s="22"/>
      <c r="H5" s="22"/>
      <c r="I5" s="22"/>
      <c r="J5" s="22">
        <f t="shared" si="0"/>
        <v>46</v>
      </c>
      <c r="K5" s="22">
        <f t="shared" si="1"/>
        <v>0</v>
      </c>
      <c r="L5" s="22">
        <f t="shared" si="2"/>
        <v>0</v>
      </c>
      <c r="M5" s="22">
        <f t="shared" si="3"/>
        <v>46</v>
      </c>
      <c r="N5" s="22"/>
    </row>
    <row r="6" spans="1:14" x14ac:dyDescent="0.25">
      <c r="A6" s="4">
        <v>5</v>
      </c>
      <c r="B6" s="6" t="s">
        <v>231</v>
      </c>
      <c r="C6" s="32">
        <v>42736</v>
      </c>
      <c r="D6" s="26">
        <v>44156</v>
      </c>
      <c r="E6" s="26">
        <v>44170</v>
      </c>
      <c r="F6" s="22"/>
      <c r="G6" s="22"/>
      <c r="H6" s="22"/>
      <c r="I6" s="22"/>
      <c r="J6" s="22">
        <f t="shared" si="0"/>
        <v>14</v>
      </c>
      <c r="K6" s="22">
        <f t="shared" si="1"/>
        <v>0</v>
      </c>
      <c r="L6" s="22">
        <f t="shared" si="2"/>
        <v>0</v>
      </c>
      <c r="M6" s="22">
        <f t="shared" si="3"/>
        <v>14</v>
      </c>
      <c r="N6" s="22"/>
    </row>
    <row r="7" spans="1:14" x14ac:dyDescent="0.25">
      <c r="A7" s="4">
        <v>6</v>
      </c>
      <c r="B7" s="6" t="s">
        <v>5</v>
      </c>
      <c r="C7" s="32">
        <v>40695</v>
      </c>
      <c r="D7" s="26">
        <v>43889</v>
      </c>
      <c r="E7" s="26">
        <v>44065</v>
      </c>
      <c r="F7" s="26"/>
      <c r="G7" s="26"/>
      <c r="H7" s="22"/>
      <c r="I7" s="22"/>
      <c r="J7" s="22">
        <f t="shared" si="0"/>
        <v>176</v>
      </c>
      <c r="K7" s="22">
        <f t="shared" si="1"/>
        <v>0</v>
      </c>
      <c r="L7" s="22">
        <f t="shared" si="2"/>
        <v>0</v>
      </c>
      <c r="M7" s="22">
        <f t="shared" si="3"/>
        <v>176</v>
      </c>
      <c r="N7" s="22"/>
    </row>
    <row r="8" spans="1:14" x14ac:dyDescent="0.25">
      <c r="A8" s="4">
        <v>7</v>
      </c>
      <c r="B8" s="6" t="s">
        <v>6</v>
      </c>
      <c r="C8" s="32">
        <v>39083</v>
      </c>
      <c r="D8" s="26">
        <v>43862</v>
      </c>
      <c r="E8" s="26">
        <v>43865</v>
      </c>
      <c r="F8" s="26"/>
      <c r="G8" s="26"/>
      <c r="H8" s="26"/>
      <c r="I8" s="26"/>
      <c r="J8" s="22">
        <f t="shared" si="0"/>
        <v>3</v>
      </c>
      <c r="K8" s="22">
        <f t="shared" si="1"/>
        <v>0</v>
      </c>
      <c r="L8" s="22">
        <f t="shared" si="2"/>
        <v>0</v>
      </c>
      <c r="M8" s="22">
        <f t="shared" si="3"/>
        <v>3</v>
      </c>
      <c r="N8" s="22"/>
    </row>
    <row r="9" spans="1:14" x14ac:dyDescent="0.25">
      <c r="A9" s="4">
        <v>8</v>
      </c>
      <c r="B9" s="6" t="s">
        <v>9</v>
      </c>
      <c r="C9" s="32">
        <v>39083</v>
      </c>
      <c r="D9" s="26">
        <v>43867</v>
      </c>
      <c r="E9" s="26">
        <v>43873</v>
      </c>
      <c r="F9" s="22"/>
      <c r="G9" s="22"/>
      <c r="H9" s="22"/>
      <c r="I9" s="22"/>
      <c r="J9" s="22">
        <f t="shared" si="0"/>
        <v>6</v>
      </c>
      <c r="K9" s="22">
        <f t="shared" si="1"/>
        <v>0</v>
      </c>
      <c r="L9" s="22">
        <f t="shared" si="2"/>
        <v>0</v>
      </c>
      <c r="M9" s="22">
        <f t="shared" si="3"/>
        <v>6</v>
      </c>
      <c r="N9" s="22"/>
    </row>
    <row r="10" spans="1:14" x14ac:dyDescent="0.25">
      <c r="A10" s="4">
        <v>9</v>
      </c>
      <c r="B10" s="6" t="s">
        <v>10</v>
      </c>
      <c r="C10" s="32">
        <v>39083</v>
      </c>
      <c r="D10" s="26"/>
      <c r="E10" s="26"/>
      <c r="F10" s="26"/>
      <c r="G10" s="26"/>
      <c r="H10" s="26"/>
      <c r="I10" s="26"/>
      <c r="J10" s="22">
        <f t="shared" si="0"/>
        <v>0</v>
      </c>
      <c r="K10" s="22">
        <f t="shared" si="1"/>
        <v>0</v>
      </c>
      <c r="L10" s="22">
        <f t="shared" si="2"/>
        <v>0</v>
      </c>
      <c r="M10" s="22">
        <f t="shared" si="3"/>
        <v>0</v>
      </c>
      <c r="N10" s="22"/>
    </row>
    <row r="11" spans="1:14" x14ac:dyDescent="0.25">
      <c r="A11" s="4">
        <v>10</v>
      </c>
      <c r="B11" s="6" t="s">
        <v>11</v>
      </c>
      <c r="C11" s="32">
        <v>39083</v>
      </c>
      <c r="D11" s="26"/>
      <c r="E11" s="26"/>
      <c r="F11" s="26"/>
      <c r="G11" s="26"/>
      <c r="H11" s="22"/>
      <c r="I11" s="22"/>
      <c r="J11" s="22">
        <f t="shared" si="0"/>
        <v>0</v>
      </c>
      <c r="K11" s="22">
        <f t="shared" si="1"/>
        <v>0</v>
      </c>
      <c r="L11" s="22">
        <f t="shared" si="2"/>
        <v>0</v>
      </c>
      <c r="M11" s="22">
        <f t="shared" si="3"/>
        <v>0</v>
      </c>
      <c r="N11" s="22"/>
    </row>
    <row r="12" spans="1:14" x14ac:dyDescent="0.25">
      <c r="A12" s="4">
        <v>11</v>
      </c>
      <c r="B12" s="6" t="s">
        <v>12</v>
      </c>
      <c r="C12" s="32">
        <v>39142</v>
      </c>
      <c r="D12" s="26">
        <v>43831</v>
      </c>
      <c r="E12" s="26">
        <v>43832</v>
      </c>
      <c r="F12" s="22"/>
      <c r="G12" s="22"/>
      <c r="H12" s="22"/>
      <c r="I12" s="22"/>
      <c r="J12" s="22">
        <f t="shared" si="0"/>
        <v>1</v>
      </c>
      <c r="K12" s="22">
        <f t="shared" si="1"/>
        <v>0</v>
      </c>
      <c r="L12" s="22">
        <f t="shared" si="2"/>
        <v>0</v>
      </c>
      <c r="M12" s="22">
        <f t="shared" si="3"/>
        <v>1</v>
      </c>
      <c r="N12" s="22"/>
    </row>
    <row r="13" spans="1:14" x14ac:dyDescent="0.25">
      <c r="A13" s="4">
        <v>12</v>
      </c>
      <c r="B13" s="6" t="s">
        <v>192</v>
      </c>
      <c r="C13" s="32">
        <v>42036</v>
      </c>
      <c r="D13" s="26">
        <v>43831</v>
      </c>
      <c r="E13" s="26">
        <v>43832</v>
      </c>
      <c r="F13" s="26">
        <v>44049</v>
      </c>
      <c r="G13" s="26">
        <v>44068</v>
      </c>
      <c r="H13" s="26"/>
      <c r="I13" s="26"/>
      <c r="J13" s="22">
        <f t="shared" si="0"/>
        <v>1</v>
      </c>
      <c r="K13" s="22">
        <f t="shared" si="1"/>
        <v>19</v>
      </c>
      <c r="L13" s="22">
        <f t="shared" si="2"/>
        <v>0</v>
      </c>
      <c r="M13" s="22">
        <f t="shared" si="3"/>
        <v>20</v>
      </c>
      <c r="N13" s="22"/>
    </row>
    <row r="14" spans="1:14" x14ac:dyDescent="0.25">
      <c r="A14" s="4">
        <v>13</v>
      </c>
      <c r="B14" s="6" t="s">
        <v>256</v>
      </c>
      <c r="C14" s="32">
        <v>43252</v>
      </c>
      <c r="D14" s="26"/>
      <c r="E14" s="26"/>
      <c r="F14" s="26">
        <v>44126</v>
      </c>
      <c r="G14" s="26">
        <v>44163</v>
      </c>
      <c r="H14" s="22"/>
      <c r="I14" s="22"/>
      <c r="J14" s="22">
        <f t="shared" si="0"/>
        <v>0</v>
      </c>
      <c r="K14" s="22">
        <f t="shared" si="1"/>
        <v>37</v>
      </c>
      <c r="L14" s="22">
        <f t="shared" si="2"/>
        <v>0</v>
      </c>
      <c r="M14" s="22">
        <f t="shared" si="3"/>
        <v>37</v>
      </c>
      <c r="N14" s="22"/>
    </row>
    <row r="15" spans="1:14" x14ac:dyDescent="0.25">
      <c r="A15" s="4">
        <v>14</v>
      </c>
      <c r="B15" s="6" t="s">
        <v>13</v>
      </c>
      <c r="C15" s="32">
        <v>39083</v>
      </c>
      <c r="D15" s="26"/>
      <c r="E15" s="26"/>
      <c r="F15" s="22"/>
      <c r="G15" s="22"/>
      <c r="H15" s="22"/>
      <c r="I15" s="22"/>
      <c r="J15" s="22">
        <f t="shared" si="0"/>
        <v>0</v>
      </c>
      <c r="K15" s="22">
        <f t="shared" si="1"/>
        <v>0</v>
      </c>
      <c r="L15" s="22">
        <f t="shared" si="2"/>
        <v>0</v>
      </c>
      <c r="M15" s="22">
        <f t="shared" si="3"/>
        <v>0</v>
      </c>
      <c r="N15" s="22"/>
    </row>
    <row r="16" spans="1:14" x14ac:dyDescent="0.25">
      <c r="A16" s="4">
        <v>15</v>
      </c>
      <c r="B16" s="6" t="s">
        <v>145</v>
      </c>
      <c r="C16" s="45">
        <v>41334</v>
      </c>
      <c r="D16" s="26"/>
      <c r="E16" s="26"/>
      <c r="F16" s="22"/>
      <c r="G16" s="22"/>
      <c r="H16" s="22"/>
      <c r="I16" s="22"/>
      <c r="J16" s="22">
        <f t="shared" si="0"/>
        <v>0</v>
      </c>
      <c r="K16" s="22">
        <f t="shared" si="1"/>
        <v>0</v>
      </c>
      <c r="L16" s="22">
        <f t="shared" si="2"/>
        <v>0</v>
      </c>
      <c r="M16" s="22">
        <f t="shared" si="3"/>
        <v>0</v>
      </c>
      <c r="N16" s="22"/>
    </row>
    <row r="17" spans="1:14" x14ac:dyDescent="0.25">
      <c r="A17" s="4">
        <v>16</v>
      </c>
      <c r="B17" s="6" t="s">
        <v>16</v>
      </c>
      <c r="C17" s="32">
        <v>40210</v>
      </c>
      <c r="D17" s="26"/>
      <c r="E17" s="26"/>
      <c r="F17" s="26"/>
      <c r="G17" s="26"/>
      <c r="H17" s="22"/>
      <c r="I17" s="22"/>
      <c r="J17" s="22">
        <f t="shared" si="0"/>
        <v>0</v>
      </c>
      <c r="K17" s="22">
        <f t="shared" si="1"/>
        <v>0</v>
      </c>
      <c r="L17" s="22">
        <f t="shared" si="2"/>
        <v>0</v>
      </c>
      <c r="M17" s="22">
        <f t="shared" si="3"/>
        <v>0</v>
      </c>
      <c r="N17" s="22"/>
    </row>
    <row r="18" spans="1:14" x14ac:dyDescent="0.25">
      <c r="A18" s="4">
        <v>17</v>
      </c>
      <c r="B18" s="6" t="s">
        <v>21</v>
      </c>
      <c r="C18" s="34">
        <v>40483</v>
      </c>
      <c r="D18" s="26"/>
      <c r="E18" s="26"/>
      <c r="F18" s="26"/>
      <c r="G18" s="26"/>
      <c r="H18" s="22"/>
      <c r="I18" s="22"/>
      <c r="J18" s="22">
        <f t="shared" si="0"/>
        <v>0</v>
      </c>
      <c r="K18" s="22">
        <f t="shared" si="1"/>
        <v>0</v>
      </c>
      <c r="L18" s="22">
        <f t="shared" si="2"/>
        <v>0</v>
      </c>
      <c r="M18" s="22">
        <f t="shared" si="3"/>
        <v>0</v>
      </c>
      <c r="N18" s="22"/>
    </row>
    <row r="19" spans="1:14" x14ac:dyDescent="0.25">
      <c r="A19" s="4">
        <v>18</v>
      </c>
      <c r="B19" s="6" t="s">
        <v>268</v>
      </c>
      <c r="C19" s="34">
        <v>43647</v>
      </c>
      <c r="D19" s="26"/>
      <c r="E19" s="26"/>
      <c r="F19" s="26"/>
      <c r="G19" s="26"/>
      <c r="H19" s="22"/>
      <c r="I19" s="22"/>
      <c r="J19" s="22">
        <f t="shared" si="0"/>
        <v>0</v>
      </c>
      <c r="K19" s="22">
        <f t="shared" si="1"/>
        <v>0</v>
      </c>
      <c r="L19" s="22">
        <f t="shared" si="2"/>
        <v>0</v>
      </c>
      <c r="M19" s="22">
        <f t="shared" si="3"/>
        <v>0</v>
      </c>
      <c r="N19" s="22"/>
    </row>
    <row r="20" spans="1:14" x14ac:dyDescent="0.25">
      <c r="A20" s="4">
        <v>19</v>
      </c>
      <c r="B20" s="6" t="s">
        <v>26</v>
      </c>
      <c r="C20" s="52">
        <v>41000</v>
      </c>
      <c r="D20" s="26"/>
      <c r="E20" s="26"/>
      <c r="F20" s="22"/>
      <c r="G20" s="22"/>
      <c r="H20" s="22"/>
      <c r="I20" s="22"/>
      <c r="J20" s="22">
        <f t="shared" si="0"/>
        <v>0</v>
      </c>
      <c r="K20" s="22">
        <f t="shared" si="1"/>
        <v>0</v>
      </c>
      <c r="L20" s="22">
        <f t="shared" si="2"/>
        <v>0</v>
      </c>
      <c r="M20" s="22">
        <f t="shared" si="3"/>
        <v>0</v>
      </c>
      <c r="N20" s="22"/>
    </row>
    <row r="21" spans="1:14" x14ac:dyDescent="0.25">
      <c r="A21" s="4">
        <v>20</v>
      </c>
      <c r="B21" s="6" t="s">
        <v>136</v>
      </c>
      <c r="C21" s="52">
        <v>41214</v>
      </c>
      <c r="D21" s="26"/>
      <c r="E21" s="26"/>
      <c r="F21" s="26"/>
      <c r="G21" s="26"/>
      <c r="H21" s="22"/>
      <c r="I21" s="22"/>
      <c r="J21" s="22">
        <f t="shared" si="0"/>
        <v>0</v>
      </c>
      <c r="K21" s="22">
        <f t="shared" si="1"/>
        <v>0</v>
      </c>
      <c r="L21" s="22">
        <f t="shared" si="2"/>
        <v>0</v>
      </c>
      <c r="M21" s="22">
        <f t="shared" si="3"/>
        <v>0</v>
      </c>
      <c r="N21" s="22"/>
    </row>
    <row r="22" spans="1:14" x14ac:dyDescent="0.25">
      <c r="A22" s="4">
        <v>21</v>
      </c>
      <c r="B22" s="6" t="s">
        <v>137</v>
      </c>
      <c r="C22" s="52">
        <v>41244</v>
      </c>
      <c r="D22" s="26"/>
      <c r="E22" s="26"/>
      <c r="F22" s="22"/>
      <c r="G22" s="22"/>
      <c r="H22" s="22"/>
      <c r="I22" s="22"/>
      <c r="J22" s="22">
        <f t="shared" si="0"/>
        <v>0</v>
      </c>
      <c r="K22" s="22">
        <f t="shared" si="1"/>
        <v>0</v>
      </c>
      <c r="L22" s="22">
        <f t="shared" si="2"/>
        <v>0</v>
      </c>
      <c r="M22" s="22">
        <f t="shared" si="3"/>
        <v>0</v>
      </c>
      <c r="N22" s="22"/>
    </row>
    <row r="23" spans="1:14" x14ac:dyDescent="0.25">
      <c r="A23" s="4">
        <v>22</v>
      </c>
      <c r="B23" s="6" t="s">
        <v>163</v>
      </c>
      <c r="C23" s="52">
        <v>41518</v>
      </c>
      <c r="D23" s="26">
        <v>43862</v>
      </c>
      <c r="E23" s="26">
        <v>44040</v>
      </c>
      <c r="F23" s="22"/>
      <c r="G23" s="22"/>
      <c r="H23" s="22"/>
      <c r="I23" s="22"/>
      <c r="J23" s="22">
        <f t="shared" si="0"/>
        <v>178</v>
      </c>
      <c r="K23" s="22">
        <f t="shared" si="1"/>
        <v>0</v>
      </c>
      <c r="L23" s="22">
        <f t="shared" si="2"/>
        <v>0</v>
      </c>
      <c r="M23" s="22">
        <f t="shared" si="3"/>
        <v>178</v>
      </c>
      <c r="N23" s="22"/>
    </row>
    <row r="24" spans="1:14" x14ac:dyDescent="0.25">
      <c r="A24" s="4">
        <v>23</v>
      </c>
      <c r="B24" s="6" t="s">
        <v>164</v>
      </c>
      <c r="C24" s="52">
        <v>41548</v>
      </c>
      <c r="D24" s="26">
        <v>43831</v>
      </c>
      <c r="E24" s="26">
        <v>43839</v>
      </c>
      <c r="F24" s="22"/>
      <c r="G24" s="22"/>
      <c r="H24" s="22"/>
      <c r="I24" s="22"/>
      <c r="J24" s="22">
        <f t="shared" si="0"/>
        <v>8</v>
      </c>
      <c r="K24" s="22">
        <f t="shared" si="1"/>
        <v>0</v>
      </c>
      <c r="L24" s="22">
        <f t="shared" si="2"/>
        <v>0</v>
      </c>
      <c r="M24" s="22">
        <f t="shared" si="3"/>
        <v>8</v>
      </c>
      <c r="N24" s="22"/>
    </row>
    <row r="25" spans="1:14" x14ac:dyDescent="0.25">
      <c r="A25" s="4">
        <v>24</v>
      </c>
      <c r="B25" s="6" t="s">
        <v>182</v>
      </c>
      <c r="C25" s="52">
        <v>41883</v>
      </c>
      <c r="D25" s="26">
        <v>43831</v>
      </c>
      <c r="E25" s="26">
        <v>43861</v>
      </c>
      <c r="F25" s="26"/>
      <c r="G25" s="26"/>
      <c r="H25" s="22"/>
      <c r="I25" s="22"/>
      <c r="J25" s="22">
        <f t="shared" si="0"/>
        <v>30</v>
      </c>
      <c r="K25" s="22">
        <f t="shared" si="1"/>
        <v>0</v>
      </c>
      <c r="L25" s="22">
        <f t="shared" si="2"/>
        <v>0</v>
      </c>
      <c r="M25" s="22">
        <f t="shared" si="3"/>
        <v>30</v>
      </c>
      <c r="N25" s="22"/>
    </row>
    <row r="26" spans="1:14" x14ac:dyDescent="0.25">
      <c r="A26" s="4">
        <v>25</v>
      </c>
      <c r="B26" s="6" t="s">
        <v>183</v>
      </c>
      <c r="C26" s="52">
        <v>41913</v>
      </c>
      <c r="D26" s="26"/>
      <c r="E26" s="26"/>
      <c r="F26" s="22"/>
      <c r="G26" s="22"/>
      <c r="H26" s="22"/>
      <c r="I26" s="22"/>
      <c r="J26" s="22">
        <f t="shared" si="0"/>
        <v>0</v>
      </c>
      <c r="K26" s="22">
        <f t="shared" si="1"/>
        <v>0</v>
      </c>
      <c r="L26" s="22">
        <f t="shared" si="2"/>
        <v>0</v>
      </c>
      <c r="M26" s="22">
        <f t="shared" si="3"/>
        <v>0</v>
      </c>
      <c r="N26" s="22"/>
    </row>
    <row r="27" spans="1:14" x14ac:dyDescent="0.25">
      <c r="A27" s="4">
        <v>26</v>
      </c>
      <c r="B27" s="6" t="s">
        <v>196</v>
      </c>
      <c r="C27" s="44">
        <v>42005</v>
      </c>
      <c r="D27" s="26"/>
      <c r="E27" s="26"/>
      <c r="F27" s="26"/>
      <c r="G27" s="26"/>
      <c r="H27" s="22"/>
      <c r="I27" s="22"/>
      <c r="J27" s="22">
        <f t="shared" si="0"/>
        <v>0</v>
      </c>
      <c r="K27" s="22">
        <f t="shared" si="1"/>
        <v>0</v>
      </c>
      <c r="L27" s="22">
        <f t="shared" si="2"/>
        <v>0</v>
      </c>
      <c r="M27" s="22">
        <f t="shared" si="3"/>
        <v>0</v>
      </c>
      <c r="N27" s="22"/>
    </row>
    <row r="28" spans="1:14" x14ac:dyDescent="0.25">
      <c r="A28" s="4">
        <v>27</v>
      </c>
      <c r="B28" s="6" t="s">
        <v>197</v>
      </c>
      <c r="C28" s="44">
        <v>42064</v>
      </c>
      <c r="D28" s="26"/>
      <c r="E28" s="26"/>
      <c r="F28" s="22"/>
      <c r="G28" s="22"/>
      <c r="H28" s="22"/>
      <c r="I28" s="22"/>
      <c r="J28" s="22">
        <f t="shared" si="0"/>
        <v>0</v>
      </c>
      <c r="K28" s="22">
        <f t="shared" si="1"/>
        <v>0</v>
      </c>
      <c r="L28" s="22">
        <f t="shared" si="2"/>
        <v>0</v>
      </c>
      <c r="M28" s="22">
        <f t="shared" si="3"/>
        <v>0</v>
      </c>
      <c r="N28" s="22"/>
    </row>
    <row r="29" spans="1:14" x14ac:dyDescent="0.25">
      <c r="A29" s="4">
        <v>28</v>
      </c>
      <c r="B29" s="6" t="s">
        <v>199</v>
      </c>
      <c r="C29" s="44">
        <v>42156</v>
      </c>
      <c r="D29" s="26"/>
      <c r="E29" s="26"/>
      <c r="F29" s="26"/>
      <c r="G29" s="26"/>
      <c r="H29" s="22"/>
      <c r="I29" s="22"/>
      <c r="J29" s="22">
        <f t="shared" si="0"/>
        <v>0</v>
      </c>
      <c r="K29" s="22">
        <f t="shared" si="1"/>
        <v>0</v>
      </c>
      <c r="L29" s="22">
        <f t="shared" si="2"/>
        <v>0</v>
      </c>
      <c r="M29" s="22">
        <f t="shared" si="3"/>
        <v>0</v>
      </c>
      <c r="N29" s="22"/>
    </row>
    <row r="30" spans="1:14" x14ac:dyDescent="0.25">
      <c r="A30" s="4">
        <v>29</v>
      </c>
      <c r="B30" s="6" t="s">
        <v>200</v>
      </c>
      <c r="C30" s="44">
        <v>42248</v>
      </c>
      <c r="D30" s="26">
        <v>43831</v>
      </c>
      <c r="E30" s="26">
        <v>43893</v>
      </c>
      <c r="F30" s="22"/>
      <c r="G30" s="22"/>
      <c r="H30" s="22"/>
      <c r="I30" s="22"/>
      <c r="J30" s="22">
        <f t="shared" si="0"/>
        <v>62</v>
      </c>
      <c r="K30" s="22">
        <f t="shared" si="1"/>
        <v>0</v>
      </c>
      <c r="L30" s="22">
        <f t="shared" si="2"/>
        <v>0</v>
      </c>
      <c r="M30" s="22">
        <f t="shared" si="3"/>
        <v>62</v>
      </c>
      <c r="N30" s="22"/>
    </row>
    <row r="31" spans="1:14" x14ac:dyDescent="0.25">
      <c r="A31" s="4">
        <v>30</v>
      </c>
      <c r="B31" s="6" t="s">
        <v>206</v>
      </c>
      <c r="C31" s="44">
        <v>42324</v>
      </c>
      <c r="D31" s="26"/>
      <c r="E31" s="26"/>
      <c r="F31" s="22"/>
      <c r="G31" s="22"/>
      <c r="H31" s="22"/>
      <c r="I31" s="22"/>
      <c r="J31" s="22">
        <f t="shared" si="0"/>
        <v>0</v>
      </c>
      <c r="K31" s="22">
        <f t="shared" si="1"/>
        <v>0</v>
      </c>
      <c r="L31" s="22">
        <f t="shared" si="2"/>
        <v>0</v>
      </c>
      <c r="M31" s="22">
        <f t="shared" si="3"/>
        <v>0</v>
      </c>
      <c r="N31" s="22"/>
    </row>
    <row r="32" spans="1:14" x14ac:dyDescent="0.25">
      <c r="A32" s="4">
        <v>31</v>
      </c>
      <c r="B32" s="6" t="s">
        <v>172</v>
      </c>
      <c r="C32" s="52">
        <v>41760</v>
      </c>
      <c r="D32" s="26"/>
      <c r="E32" s="26"/>
      <c r="F32" s="22"/>
      <c r="G32" s="22"/>
      <c r="H32" s="22"/>
      <c r="I32" s="22"/>
      <c r="J32" s="22">
        <f t="shared" si="0"/>
        <v>0</v>
      </c>
      <c r="K32" s="22">
        <f t="shared" si="1"/>
        <v>0</v>
      </c>
      <c r="L32" s="22">
        <f t="shared" si="2"/>
        <v>0</v>
      </c>
      <c r="M32" s="22">
        <f t="shared" si="3"/>
        <v>0</v>
      </c>
      <c r="N32" s="22"/>
    </row>
    <row r="33" spans="1:14" x14ac:dyDescent="0.25">
      <c r="A33" s="4">
        <v>32</v>
      </c>
      <c r="B33" s="6" t="s">
        <v>174</v>
      </c>
      <c r="C33" s="52">
        <v>41760</v>
      </c>
      <c r="D33" s="26"/>
      <c r="E33" s="26"/>
      <c r="F33" s="22"/>
      <c r="G33" s="22"/>
      <c r="H33" s="22"/>
      <c r="I33" s="22"/>
      <c r="J33" s="22">
        <f t="shared" si="0"/>
        <v>0</v>
      </c>
      <c r="K33" s="22">
        <f t="shared" si="1"/>
        <v>0</v>
      </c>
      <c r="L33" s="22">
        <f t="shared" si="2"/>
        <v>0</v>
      </c>
      <c r="M33" s="22">
        <f t="shared" si="3"/>
        <v>0</v>
      </c>
      <c r="N33" s="22"/>
    </row>
    <row r="34" spans="1:14" x14ac:dyDescent="0.25">
      <c r="A34" s="4">
        <v>33</v>
      </c>
      <c r="B34" s="6" t="s">
        <v>42</v>
      </c>
      <c r="C34" s="52">
        <v>40878</v>
      </c>
      <c r="D34" s="26">
        <v>43840</v>
      </c>
      <c r="E34" s="26">
        <v>43861</v>
      </c>
      <c r="F34" s="22"/>
      <c r="G34" s="22"/>
      <c r="H34" s="22"/>
      <c r="I34" s="22"/>
      <c r="J34" s="22">
        <f t="shared" si="0"/>
        <v>21</v>
      </c>
      <c r="K34" s="22">
        <f t="shared" si="1"/>
        <v>0</v>
      </c>
      <c r="L34" s="22">
        <f t="shared" si="2"/>
        <v>0</v>
      </c>
      <c r="M34" s="22">
        <f t="shared" si="3"/>
        <v>21</v>
      </c>
      <c r="N34" s="22"/>
    </row>
    <row r="35" spans="1:14" x14ac:dyDescent="0.25">
      <c r="A35" s="4">
        <v>34</v>
      </c>
      <c r="B35" s="6" t="s">
        <v>221</v>
      </c>
      <c r="C35" s="52">
        <v>42430</v>
      </c>
      <c r="D35" s="26"/>
      <c r="E35" s="26"/>
      <c r="F35" s="22"/>
      <c r="G35" s="22"/>
      <c r="H35" s="22"/>
      <c r="I35" s="22"/>
      <c r="J35" s="22">
        <f t="shared" si="0"/>
        <v>0</v>
      </c>
      <c r="K35" s="22">
        <f t="shared" si="1"/>
        <v>0</v>
      </c>
      <c r="L35" s="22">
        <f t="shared" si="2"/>
        <v>0</v>
      </c>
      <c r="M35" s="22">
        <f t="shared" si="3"/>
        <v>0</v>
      </c>
      <c r="N35" s="22"/>
    </row>
    <row r="36" spans="1:14" x14ac:dyDescent="0.25">
      <c r="A36" s="4">
        <v>35</v>
      </c>
      <c r="B36" s="6" t="s">
        <v>222</v>
      </c>
      <c r="C36" s="52">
        <v>42522</v>
      </c>
      <c r="D36" s="26">
        <v>44156</v>
      </c>
      <c r="E36" s="26">
        <v>44196</v>
      </c>
      <c r="F36" s="22"/>
      <c r="G36" s="22"/>
      <c r="H36" s="22"/>
      <c r="I36" s="22"/>
      <c r="J36" s="22">
        <f t="shared" si="0"/>
        <v>40</v>
      </c>
      <c r="K36" s="22">
        <f t="shared" si="1"/>
        <v>0</v>
      </c>
      <c r="L36" s="22">
        <f t="shared" si="2"/>
        <v>0</v>
      </c>
      <c r="M36" s="22">
        <f t="shared" si="3"/>
        <v>40</v>
      </c>
      <c r="N36" s="22" t="s">
        <v>246</v>
      </c>
    </row>
    <row r="37" spans="1:14" x14ac:dyDescent="0.25">
      <c r="A37" s="4">
        <v>36</v>
      </c>
      <c r="B37" s="6" t="s">
        <v>238</v>
      </c>
      <c r="C37" s="52">
        <v>42614</v>
      </c>
      <c r="D37" s="26">
        <v>43831</v>
      </c>
      <c r="E37" s="26">
        <v>43832</v>
      </c>
      <c r="F37" s="22"/>
      <c r="G37" s="22"/>
      <c r="H37" s="22"/>
      <c r="I37" s="22"/>
      <c r="J37" s="22">
        <f t="shared" si="0"/>
        <v>1</v>
      </c>
      <c r="K37" s="22">
        <f t="shared" si="1"/>
        <v>0</v>
      </c>
      <c r="L37" s="22">
        <f t="shared" si="2"/>
        <v>0</v>
      </c>
      <c r="M37" s="22">
        <f t="shared" si="3"/>
        <v>1</v>
      </c>
      <c r="N37" s="22"/>
    </row>
    <row r="38" spans="1:14" x14ac:dyDescent="0.25">
      <c r="A38" s="4">
        <v>37</v>
      </c>
      <c r="B38" s="6" t="s">
        <v>227</v>
      </c>
      <c r="C38" s="52">
        <v>42644</v>
      </c>
      <c r="D38" s="26">
        <v>44164</v>
      </c>
      <c r="E38" s="26">
        <v>44196</v>
      </c>
      <c r="F38" s="22"/>
      <c r="G38" s="22"/>
      <c r="H38" s="22"/>
      <c r="I38" s="22"/>
      <c r="J38" s="22">
        <f t="shared" si="0"/>
        <v>32</v>
      </c>
      <c r="K38" s="22">
        <f t="shared" si="1"/>
        <v>0</v>
      </c>
      <c r="L38" s="22">
        <f t="shared" si="2"/>
        <v>0</v>
      </c>
      <c r="M38" s="22">
        <f t="shared" si="3"/>
        <v>32</v>
      </c>
      <c r="N38" s="22" t="s">
        <v>246</v>
      </c>
    </row>
    <row r="39" spans="1:14" x14ac:dyDescent="0.25">
      <c r="A39" s="4">
        <v>38</v>
      </c>
      <c r="B39" s="6" t="s">
        <v>229</v>
      </c>
      <c r="C39" s="52">
        <v>42675</v>
      </c>
      <c r="D39" s="26"/>
      <c r="E39" s="26"/>
      <c r="F39" s="22"/>
      <c r="G39" s="22"/>
      <c r="H39" s="22"/>
      <c r="I39" s="22"/>
      <c r="J39" s="22">
        <f t="shared" si="0"/>
        <v>0</v>
      </c>
      <c r="K39" s="22">
        <f t="shared" si="1"/>
        <v>0</v>
      </c>
      <c r="L39" s="22">
        <f t="shared" si="2"/>
        <v>0</v>
      </c>
      <c r="M39" s="22">
        <f t="shared" si="3"/>
        <v>0</v>
      </c>
      <c r="N39" s="22"/>
    </row>
    <row r="40" spans="1:14" x14ac:dyDescent="0.25">
      <c r="A40" s="4">
        <v>39</v>
      </c>
      <c r="B40" s="6" t="s">
        <v>240</v>
      </c>
      <c r="C40" s="52">
        <v>42795</v>
      </c>
      <c r="D40" s="26"/>
      <c r="E40" s="26"/>
      <c r="F40" s="22"/>
      <c r="G40" s="22"/>
      <c r="H40" s="22"/>
      <c r="I40" s="22"/>
      <c r="J40" s="22">
        <f t="shared" si="0"/>
        <v>0</v>
      </c>
      <c r="K40" s="22">
        <f t="shared" si="1"/>
        <v>0</v>
      </c>
      <c r="L40" s="22">
        <f t="shared" si="2"/>
        <v>0</v>
      </c>
      <c r="M40" s="22">
        <f t="shared" si="3"/>
        <v>0</v>
      </c>
      <c r="N40" s="22"/>
    </row>
    <row r="41" spans="1:14" x14ac:dyDescent="0.25">
      <c r="A41" s="4">
        <v>40</v>
      </c>
      <c r="B41" s="6" t="s">
        <v>234</v>
      </c>
      <c r="C41" s="52">
        <v>42856</v>
      </c>
      <c r="D41" s="26">
        <v>44156</v>
      </c>
      <c r="E41" s="26">
        <v>44196</v>
      </c>
      <c r="F41" s="22"/>
      <c r="G41" s="22"/>
      <c r="H41" s="22"/>
      <c r="I41" s="22"/>
      <c r="J41" s="22">
        <f t="shared" si="0"/>
        <v>40</v>
      </c>
      <c r="K41" s="22">
        <f t="shared" si="1"/>
        <v>0</v>
      </c>
      <c r="L41" s="22">
        <f t="shared" si="2"/>
        <v>0</v>
      </c>
      <c r="M41" s="22">
        <f t="shared" si="3"/>
        <v>40</v>
      </c>
      <c r="N41" s="22" t="s">
        <v>246</v>
      </c>
    </row>
    <row r="42" spans="1:14" x14ac:dyDescent="0.25">
      <c r="A42" s="4">
        <v>41</v>
      </c>
      <c r="B42" s="6" t="s">
        <v>235</v>
      </c>
      <c r="C42" s="52">
        <v>42856</v>
      </c>
      <c r="D42" s="22"/>
      <c r="E42" s="22"/>
      <c r="F42" s="22"/>
      <c r="G42" s="22"/>
      <c r="H42" s="22"/>
      <c r="I42" s="22"/>
      <c r="J42" s="22">
        <f t="shared" si="0"/>
        <v>0</v>
      </c>
      <c r="K42" s="22">
        <f t="shared" si="1"/>
        <v>0</v>
      </c>
      <c r="L42" s="22">
        <f t="shared" si="2"/>
        <v>0</v>
      </c>
      <c r="M42" s="22">
        <f t="shared" si="3"/>
        <v>0</v>
      </c>
      <c r="N42" s="22"/>
    </row>
    <row r="43" spans="1:14" x14ac:dyDescent="0.25">
      <c r="A43" s="4">
        <v>42</v>
      </c>
      <c r="B43" s="6" t="s">
        <v>241</v>
      </c>
      <c r="C43" s="52">
        <v>42948</v>
      </c>
      <c r="D43" s="26"/>
      <c r="E43" s="26"/>
      <c r="F43" s="22"/>
      <c r="G43" s="22"/>
      <c r="H43" s="22"/>
      <c r="I43" s="22"/>
      <c r="J43" s="22">
        <f t="shared" si="0"/>
        <v>0</v>
      </c>
      <c r="K43" s="22">
        <f t="shared" si="1"/>
        <v>0</v>
      </c>
      <c r="L43" s="22">
        <f t="shared" si="2"/>
        <v>0</v>
      </c>
      <c r="M43" s="22">
        <f t="shared" si="3"/>
        <v>0</v>
      </c>
      <c r="N43" s="22"/>
    </row>
    <row r="44" spans="1:14" x14ac:dyDescent="0.25">
      <c r="A44" s="4">
        <v>43</v>
      </c>
      <c r="B44" s="6" t="s">
        <v>242</v>
      </c>
      <c r="C44" s="52">
        <v>42948</v>
      </c>
      <c r="D44" s="26"/>
      <c r="E44" s="26"/>
      <c r="F44" s="22"/>
      <c r="G44" s="22"/>
      <c r="H44" s="22"/>
      <c r="I44" s="22"/>
      <c r="J44" s="22">
        <f t="shared" si="0"/>
        <v>0</v>
      </c>
      <c r="K44" s="22">
        <f t="shared" si="1"/>
        <v>0</v>
      </c>
      <c r="L44" s="22">
        <f t="shared" si="2"/>
        <v>0</v>
      </c>
      <c r="M44" s="22">
        <f t="shared" si="3"/>
        <v>0</v>
      </c>
      <c r="N44" s="22"/>
    </row>
    <row r="45" spans="1:14" x14ac:dyDescent="0.25">
      <c r="A45" s="4">
        <v>44</v>
      </c>
      <c r="B45" s="6" t="s">
        <v>244</v>
      </c>
      <c r="C45" s="52">
        <v>42979</v>
      </c>
      <c r="D45" s="26"/>
      <c r="E45" s="26"/>
      <c r="F45" s="22"/>
      <c r="G45" s="22"/>
      <c r="H45" s="22"/>
      <c r="I45" s="22"/>
      <c r="J45" s="22">
        <f t="shared" si="0"/>
        <v>0</v>
      </c>
      <c r="K45" s="22">
        <f t="shared" si="1"/>
        <v>0</v>
      </c>
      <c r="L45" s="22">
        <f t="shared" si="2"/>
        <v>0</v>
      </c>
      <c r="M45" s="22">
        <f t="shared" si="3"/>
        <v>0</v>
      </c>
      <c r="N45" s="22"/>
    </row>
    <row r="46" spans="1:14" x14ac:dyDescent="0.25">
      <c r="A46" s="4">
        <v>45</v>
      </c>
      <c r="B46" s="6" t="s">
        <v>250</v>
      </c>
      <c r="C46" s="52">
        <v>43101</v>
      </c>
      <c r="D46" s="26"/>
      <c r="E46" s="26"/>
      <c r="F46" s="22"/>
      <c r="G46" s="22"/>
      <c r="H46" s="22"/>
      <c r="I46" s="22"/>
      <c r="J46" s="22">
        <f t="shared" si="0"/>
        <v>0</v>
      </c>
      <c r="K46" s="22">
        <f t="shared" si="1"/>
        <v>0</v>
      </c>
      <c r="L46" s="22">
        <f t="shared" si="2"/>
        <v>0</v>
      </c>
      <c r="M46" s="22">
        <f t="shared" si="3"/>
        <v>0</v>
      </c>
      <c r="N46" s="22"/>
    </row>
    <row r="47" spans="1:14" x14ac:dyDescent="0.25">
      <c r="A47" s="4">
        <v>46</v>
      </c>
      <c r="B47" s="6" t="s">
        <v>251</v>
      </c>
      <c r="C47" s="52">
        <v>43101</v>
      </c>
      <c r="D47" s="26">
        <v>43902</v>
      </c>
      <c r="E47" s="26">
        <v>44067</v>
      </c>
      <c r="F47" s="22"/>
      <c r="G47" s="22"/>
      <c r="H47" s="22"/>
      <c r="I47" s="22"/>
      <c r="J47" s="22">
        <f t="shared" si="0"/>
        <v>165</v>
      </c>
      <c r="K47" s="22">
        <f t="shared" si="1"/>
        <v>0</v>
      </c>
      <c r="L47" s="22">
        <f t="shared" si="2"/>
        <v>0</v>
      </c>
      <c r="M47" s="22">
        <f t="shared" si="3"/>
        <v>165</v>
      </c>
      <c r="N47" s="22"/>
    </row>
    <row r="48" spans="1:14" x14ac:dyDescent="0.25">
      <c r="A48" s="4">
        <v>47</v>
      </c>
      <c r="B48" s="6" t="s">
        <v>253</v>
      </c>
      <c r="C48" s="52">
        <v>43132</v>
      </c>
      <c r="D48" s="22"/>
      <c r="E48" s="22"/>
      <c r="F48" s="22"/>
      <c r="G48" s="22"/>
      <c r="H48" s="22"/>
      <c r="I48" s="22"/>
      <c r="J48" s="22">
        <f t="shared" si="0"/>
        <v>0</v>
      </c>
      <c r="K48" s="22">
        <f t="shared" si="1"/>
        <v>0</v>
      </c>
      <c r="L48" s="22">
        <f t="shared" si="2"/>
        <v>0</v>
      </c>
      <c r="M48" s="22">
        <f t="shared" si="3"/>
        <v>0</v>
      </c>
      <c r="N48" s="22"/>
    </row>
    <row r="49" spans="1:14" x14ac:dyDescent="0.25">
      <c r="A49" s="4">
        <v>48</v>
      </c>
      <c r="B49" s="6" t="s">
        <v>254</v>
      </c>
      <c r="C49" s="52">
        <v>43191</v>
      </c>
      <c r="D49" s="26">
        <v>44067</v>
      </c>
      <c r="E49" s="26">
        <v>44164</v>
      </c>
      <c r="F49" s="22"/>
      <c r="G49" s="22"/>
      <c r="H49" s="22"/>
      <c r="I49" s="22"/>
      <c r="J49" s="22">
        <f t="shared" si="0"/>
        <v>97</v>
      </c>
      <c r="K49" s="22">
        <f t="shared" si="1"/>
        <v>0</v>
      </c>
      <c r="L49" s="22">
        <f t="shared" si="2"/>
        <v>0</v>
      </c>
      <c r="M49" s="22">
        <f t="shared" si="3"/>
        <v>97</v>
      </c>
      <c r="N49" s="22"/>
    </row>
    <row r="50" spans="1:14" x14ac:dyDescent="0.25">
      <c r="A50" s="4">
        <v>49</v>
      </c>
      <c r="B50" s="22" t="s">
        <v>257</v>
      </c>
      <c r="C50" s="52">
        <v>43282</v>
      </c>
      <c r="D50" s="22"/>
      <c r="E50" s="22"/>
      <c r="F50" s="22"/>
      <c r="G50" s="22"/>
      <c r="H50" s="22"/>
      <c r="I50" s="22"/>
      <c r="J50" s="22">
        <f t="shared" si="0"/>
        <v>0</v>
      </c>
      <c r="K50" s="22">
        <f t="shared" si="1"/>
        <v>0</v>
      </c>
      <c r="L50" s="22">
        <f t="shared" si="2"/>
        <v>0</v>
      </c>
      <c r="M50" s="22">
        <f t="shared" si="3"/>
        <v>0</v>
      </c>
      <c r="N50" s="22"/>
    </row>
    <row r="51" spans="1:14" x14ac:dyDescent="0.25">
      <c r="A51" s="4">
        <v>50</v>
      </c>
      <c r="B51" s="22" t="s">
        <v>258</v>
      </c>
      <c r="C51" s="52">
        <v>43282</v>
      </c>
      <c r="D51" s="26">
        <v>44169</v>
      </c>
      <c r="E51" s="26">
        <v>44196</v>
      </c>
      <c r="F51" s="22"/>
      <c r="G51" s="22"/>
      <c r="H51" s="22"/>
      <c r="I51" s="22"/>
      <c r="J51" s="22">
        <f t="shared" si="0"/>
        <v>27</v>
      </c>
      <c r="K51" s="22">
        <f t="shared" si="1"/>
        <v>0</v>
      </c>
      <c r="L51" s="22">
        <f t="shared" si="2"/>
        <v>0</v>
      </c>
      <c r="M51" s="22">
        <f t="shared" si="3"/>
        <v>27</v>
      </c>
      <c r="N51" s="22" t="s">
        <v>246</v>
      </c>
    </row>
    <row r="52" spans="1:14" x14ac:dyDescent="0.25">
      <c r="A52" s="4">
        <v>51</v>
      </c>
      <c r="B52" s="22" t="s">
        <v>260</v>
      </c>
      <c r="C52" s="52">
        <v>43405</v>
      </c>
      <c r="D52" s="22"/>
      <c r="E52" s="22"/>
      <c r="F52" s="22"/>
      <c r="G52" s="22"/>
      <c r="H52" s="22"/>
      <c r="I52" s="22"/>
      <c r="J52" s="22">
        <f t="shared" si="0"/>
        <v>0</v>
      </c>
      <c r="K52" s="22">
        <f t="shared" si="1"/>
        <v>0</v>
      </c>
      <c r="L52" s="22">
        <f t="shared" si="2"/>
        <v>0</v>
      </c>
      <c r="M52" s="22">
        <f t="shared" si="3"/>
        <v>0</v>
      </c>
      <c r="N52" s="22"/>
    </row>
    <row r="53" spans="1:14" x14ac:dyDescent="0.25">
      <c r="A53" s="4">
        <v>52</v>
      </c>
      <c r="B53" s="22" t="s">
        <v>261</v>
      </c>
      <c r="C53" s="52">
        <v>43466</v>
      </c>
      <c r="D53" s="22"/>
      <c r="E53" s="22"/>
      <c r="F53" s="22"/>
      <c r="G53" s="22"/>
      <c r="H53" s="22"/>
      <c r="I53" s="22"/>
      <c r="J53" s="22">
        <f t="shared" si="0"/>
        <v>0</v>
      </c>
      <c r="K53" s="22">
        <f t="shared" si="1"/>
        <v>0</v>
      </c>
      <c r="L53" s="22">
        <f t="shared" si="2"/>
        <v>0</v>
      </c>
      <c r="M53" s="22">
        <f t="shared" si="3"/>
        <v>0</v>
      </c>
      <c r="N53" s="22"/>
    </row>
    <row r="54" spans="1:14" x14ac:dyDescent="0.25">
      <c r="A54" s="4">
        <v>53</v>
      </c>
      <c r="B54" s="59" t="s">
        <v>281</v>
      </c>
      <c r="C54" s="5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1:14" x14ac:dyDescent="0.25">
      <c r="A55" s="4">
        <v>54</v>
      </c>
      <c r="B55" s="56" t="s">
        <v>262</v>
      </c>
      <c r="C55" s="52">
        <v>43556</v>
      </c>
      <c r="D55" s="26">
        <v>43831</v>
      </c>
      <c r="E55" s="26">
        <v>43837</v>
      </c>
      <c r="F55" s="22"/>
      <c r="G55" s="22"/>
      <c r="H55" s="22"/>
      <c r="I55" s="22"/>
      <c r="J55" s="22">
        <f t="shared" si="0"/>
        <v>6</v>
      </c>
      <c r="K55" s="22">
        <f t="shared" si="1"/>
        <v>0</v>
      </c>
      <c r="L55" s="22">
        <f t="shared" si="2"/>
        <v>0</v>
      </c>
      <c r="M55" s="22">
        <f t="shared" si="3"/>
        <v>6</v>
      </c>
      <c r="N55" s="22"/>
    </row>
    <row r="56" spans="1:14" x14ac:dyDescent="0.25">
      <c r="A56" s="4">
        <v>55</v>
      </c>
      <c r="B56" s="56" t="s">
        <v>264</v>
      </c>
      <c r="C56" s="52">
        <v>43617</v>
      </c>
      <c r="D56" s="22"/>
      <c r="E56" s="22"/>
      <c r="F56" s="22"/>
      <c r="G56" s="22"/>
      <c r="H56" s="22"/>
      <c r="I56" s="22"/>
      <c r="J56" s="22">
        <f t="shared" si="0"/>
        <v>0</v>
      </c>
      <c r="K56" s="22">
        <f t="shared" si="1"/>
        <v>0</v>
      </c>
      <c r="L56" s="22">
        <f t="shared" si="2"/>
        <v>0</v>
      </c>
      <c r="M56" s="22">
        <f t="shared" si="3"/>
        <v>0</v>
      </c>
      <c r="N56" s="22"/>
    </row>
    <row r="57" spans="1:14" x14ac:dyDescent="0.25">
      <c r="A57" s="4">
        <v>56</v>
      </c>
      <c r="B57" s="58" t="s">
        <v>269</v>
      </c>
      <c r="C57" s="52">
        <v>43647</v>
      </c>
      <c r="D57" s="22"/>
      <c r="E57" s="22"/>
      <c r="F57" s="22"/>
      <c r="G57" s="22"/>
      <c r="H57" s="22"/>
      <c r="I57" s="22"/>
      <c r="J57" s="22">
        <f t="shared" ref="J57:J98" si="4">E57-D57</f>
        <v>0</v>
      </c>
      <c r="K57" s="22">
        <f t="shared" ref="K57:K98" si="5">G57-F57</f>
        <v>0</v>
      </c>
      <c r="L57" s="22">
        <f t="shared" ref="L57:L98" si="6">I57-H57</f>
        <v>0</v>
      </c>
      <c r="M57" s="22">
        <f t="shared" ref="M57:M98" si="7">J57+K57+L57</f>
        <v>0</v>
      </c>
      <c r="N57" s="22"/>
    </row>
    <row r="58" spans="1:14" x14ac:dyDescent="0.25">
      <c r="A58" s="4">
        <v>57</v>
      </c>
      <c r="B58" s="58" t="s">
        <v>270</v>
      </c>
      <c r="C58" s="52">
        <v>43647</v>
      </c>
      <c r="D58" s="22"/>
      <c r="E58" s="22"/>
      <c r="F58" s="22"/>
      <c r="G58" s="22"/>
      <c r="H58" s="22"/>
      <c r="I58" s="22"/>
      <c r="J58" s="22">
        <f t="shared" si="4"/>
        <v>0</v>
      </c>
      <c r="K58" s="22">
        <f t="shared" si="5"/>
        <v>0</v>
      </c>
      <c r="L58" s="22">
        <f t="shared" si="6"/>
        <v>0</v>
      </c>
      <c r="M58" s="22">
        <f t="shared" si="7"/>
        <v>0</v>
      </c>
      <c r="N58" s="22"/>
    </row>
    <row r="59" spans="1:14" x14ac:dyDescent="0.25">
      <c r="A59" s="4">
        <v>58</v>
      </c>
      <c r="B59" s="58" t="s">
        <v>272</v>
      </c>
      <c r="C59" s="52">
        <v>43647</v>
      </c>
      <c r="D59" s="22"/>
      <c r="E59" s="22"/>
      <c r="F59" s="22"/>
      <c r="G59" s="22"/>
      <c r="H59" s="22"/>
      <c r="I59" s="22"/>
      <c r="J59" s="22">
        <f t="shared" si="4"/>
        <v>0</v>
      </c>
      <c r="K59" s="22">
        <f t="shared" si="5"/>
        <v>0</v>
      </c>
      <c r="L59" s="22">
        <f t="shared" si="6"/>
        <v>0</v>
      </c>
      <c r="M59" s="22">
        <f t="shared" si="7"/>
        <v>0</v>
      </c>
      <c r="N59" s="22"/>
    </row>
    <row r="60" spans="1:14" x14ac:dyDescent="0.25">
      <c r="A60" s="4">
        <v>59</v>
      </c>
      <c r="B60" s="56" t="s">
        <v>265</v>
      </c>
      <c r="C60" s="52">
        <v>43617</v>
      </c>
      <c r="D60" s="22"/>
      <c r="E60" s="22"/>
      <c r="F60" s="22"/>
      <c r="G60" s="22"/>
      <c r="H60" s="22"/>
      <c r="I60" s="22"/>
      <c r="J60" s="22">
        <f>E60-D60</f>
        <v>0</v>
      </c>
      <c r="K60" s="22">
        <f>G60-F60</f>
        <v>0</v>
      </c>
      <c r="L60" s="22">
        <f>I60-H60</f>
        <v>0</v>
      </c>
      <c r="M60" s="22">
        <f>J60+K60+L60</f>
        <v>0</v>
      </c>
      <c r="N60" s="22"/>
    </row>
    <row r="61" spans="1:14" x14ac:dyDescent="0.25">
      <c r="A61" s="4">
        <v>60</v>
      </c>
      <c r="B61" s="58" t="s">
        <v>276</v>
      </c>
      <c r="C61" s="52">
        <v>43739</v>
      </c>
      <c r="D61" s="22"/>
      <c r="E61" s="22"/>
      <c r="F61" s="22"/>
      <c r="G61" s="22"/>
      <c r="H61" s="22"/>
      <c r="I61" s="22"/>
      <c r="J61" s="22">
        <f t="shared" si="4"/>
        <v>0</v>
      </c>
      <c r="K61" s="22">
        <f t="shared" si="5"/>
        <v>0</v>
      </c>
      <c r="L61" s="22">
        <f t="shared" si="6"/>
        <v>0</v>
      </c>
      <c r="M61" s="22">
        <f t="shared" si="7"/>
        <v>0</v>
      </c>
      <c r="N61" s="22"/>
    </row>
    <row r="62" spans="1:14" x14ac:dyDescent="0.25">
      <c r="A62" s="4">
        <v>61</v>
      </c>
      <c r="B62" s="58" t="s">
        <v>278</v>
      </c>
      <c r="C62" s="52">
        <v>43800</v>
      </c>
      <c r="D62" s="22"/>
      <c r="E62" s="22"/>
      <c r="F62" s="22"/>
      <c r="G62" s="22"/>
      <c r="H62" s="22"/>
      <c r="I62" s="22"/>
      <c r="J62" s="22">
        <f t="shared" si="4"/>
        <v>0</v>
      </c>
      <c r="K62" s="22">
        <f t="shared" si="5"/>
        <v>0</v>
      </c>
      <c r="L62" s="22">
        <f t="shared" si="6"/>
        <v>0</v>
      </c>
      <c r="M62" s="22">
        <f t="shared" si="7"/>
        <v>0</v>
      </c>
      <c r="N62" s="22"/>
    </row>
    <row r="63" spans="1:14" x14ac:dyDescent="0.25">
      <c r="A63" s="4">
        <v>62</v>
      </c>
      <c r="B63" s="58" t="s">
        <v>280</v>
      </c>
      <c r="C63" s="52">
        <v>43891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1:14" x14ac:dyDescent="0.25">
      <c r="A64" s="4">
        <v>63</v>
      </c>
      <c r="B64" s="60" t="s">
        <v>285</v>
      </c>
      <c r="C64" s="5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spans="1:14" x14ac:dyDescent="0.25">
      <c r="A65" s="4">
        <v>64</v>
      </c>
      <c r="B65" s="61" t="s">
        <v>286</v>
      </c>
      <c r="C65" s="5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1:14" x14ac:dyDescent="0.25">
      <c r="A66" s="4">
        <v>65</v>
      </c>
      <c r="B66" s="6" t="s">
        <v>30</v>
      </c>
      <c r="C66" s="32">
        <v>39083</v>
      </c>
      <c r="D66" s="26">
        <v>43875</v>
      </c>
      <c r="E66" s="26">
        <v>44082</v>
      </c>
      <c r="F66" s="22"/>
      <c r="G66" s="22"/>
      <c r="H66" s="22"/>
      <c r="I66" s="22"/>
      <c r="J66" s="22">
        <f t="shared" si="4"/>
        <v>207</v>
      </c>
      <c r="K66" s="22">
        <f t="shared" si="5"/>
        <v>0</v>
      </c>
      <c r="L66" s="22">
        <f t="shared" si="6"/>
        <v>0</v>
      </c>
      <c r="M66" s="22">
        <f t="shared" si="7"/>
        <v>207</v>
      </c>
      <c r="N66" s="22"/>
    </row>
    <row r="67" spans="1:14" x14ac:dyDescent="0.25">
      <c r="A67" s="4">
        <v>66</v>
      </c>
      <c r="B67" s="6" t="s">
        <v>31</v>
      </c>
      <c r="C67" s="32">
        <v>39083</v>
      </c>
      <c r="D67" s="26"/>
      <c r="E67" s="26"/>
      <c r="F67" s="22"/>
      <c r="G67" s="22"/>
      <c r="H67" s="22"/>
      <c r="I67" s="22"/>
      <c r="J67" s="22">
        <f t="shared" si="4"/>
        <v>0</v>
      </c>
      <c r="K67" s="22">
        <f t="shared" si="5"/>
        <v>0</v>
      </c>
      <c r="L67" s="22">
        <f t="shared" si="6"/>
        <v>0</v>
      </c>
      <c r="M67" s="22">
        <f t="shared" si="7"/>
        <v>0</v>
      </c>
      <c r="N67" s="22"/>
    </row>
    <row r="68" spans="1:14" x14ac:dyDescent="0.25">
      <c r="A68" s="4">
        <v>67</v>
      </c>
      <c r="B68" s="6" t="s">
        <v>33</v>
      </c>
      <c r="C68" s="32">
        <v>40940</v>
      </c>
      <c r="D68" s="26"/>
      <c r="E68" s="26"/>
      <c r="F68" s="22"/>
      <c r="G68" s="22"/>
      <c r="H68" s="22"/>
      <c r="I68" s="22"/>
      <c r="J68" s="22">
        <f t="shared" si="4"/>
        <v>0</v>
      </c>
      <c r="K68" s="22">
        <f t="shared" si="5"/>
        <v>0</v>
      </c>
      <c r="L68" s="22">
        <f t="shared" si="6"/>
        <v>0</v>
      </c>
      <c r="M68" s="22">
        <f t="shared" si="7"/>
        <v>0</v>
      </c>
      <c r="N68" s="22"/>
    </row>
    <row r="69" spans="1:14" x14ac:dyDescent="0.25">
      <c r="A69" s="4">
        <v>68</v>
      </c>
      <c r="B69" s="6" t="s">
        <v>55</v>
      </c>
      <c r="C69" s="32">
        <v>40848</v>
      </c>
      <c r="D69" s="26">
        <v>44035</v>
      </c>
      <c r="E69" s="26">
        <v>44137</v>
      </c>
      <c r="F69" s="22"/>
      <c r="G69" s="22"/>
      <c r="H69" s="22"/>
      <c r="I69" s="22"/>
      <c r="J69" s="22">
        <f>E69-D69</f>
        <v>102</v>
      </c>
      <c r="K69" s="22">
        <f>G69-F69</f>
        <v>0</v>
      </c>
      <c r="L69" s="22">
        <f>I69-H69</f>
        <v>0</v>
      </c>
      <c r="M69" s="22">
        <f>J69+K69+L69</f>
        <v>102</v>
      </c>
      <c r="N69" s="22"/>
    </row>
    <row r="70" spans="1:14" x14ac:dyDescent="0.25">
      <c r="A70" s="4">
        <v>69</v>
      </c>
      <c r="B70" s="6" t="s">
        <v>48</v>
      </c>
      <c r="C70" s="35">
        <v>39173</v>
      </c>
      <c r="D70" s="26"/>
      <c r="E70" s="26"/>
      <c r="F70" s="22"/>
      <c r="G70" s="22"/>
      <c r="H70" s="22"/>
      <c r="I70" s="22"/>
      <c r="J70" s="22">
        <f t="shared" si="4"/>
        <v>0</v>
      </c>
      <c r="K70" s="22">
        <f t="shared" si="5"/>
        <v>0</v>
      </c>
      <c r="L70" s="22">
        <f t="shared" si="6"/>
        <v>0</v>
      </c>
      <c r="M70" s="22">
        <f t="shared" si="7"/>
        <v>0</v>
      </c>
      <c r="N70" s="22"/>
    </row>
    <row r="71" spans="1:14" x14ac:dyDescent="0.25">
      <c r="A71" s="4">
        <v>70</v>
      </c>
      <c r="B71" s="6" t="s">
        <v>266</v>
      </c>
      <c r="C71" s="32">
        <v>43617</v>
      </c>
      <c r="D71" s="26"/>
      <c r="E71" s="26"/>
      <c r="F71" s="22"/>
      <c r="G71" s="22"/>
      <c r="H71" s="22"/>
      <c r="I71" s="22"/>
      <c r="J71" s="22">
        <f t="shared" si="4"/>
        <v>0</v>
      </c>
      <c r="K71" s="22">
        <f t="shared" si="5"/>
        <v>0</v>
      </c>
      <c r="L71" s="22">
        <f t="shared" si="6"/>
        <v>0</v>
      </c>
      <c r="M71" s="22">
        <f t="shared" si="7"/>
        <v>0</v>
      </c>
      <c r="N71" s="22"/>
    </row>
    <row r="72" spans="1:14" x14ac:dyDescent="0.25">
      <c r="A72" s="4">
        <v>71</v>
      </c>
      <c r="B72" s="6" t="s">
        <v>287</v>
      </c>
      <c r="C72" s="32"/>
      <c r="D72" s="26"/>
      <c r="E72" s="26"/>
      <c r="F72" s="22"/>
      <c r="G72" s="22"/>
      <c r="H72" s="22"/>
      <c r="I72" s="22"/>
      <c r="J72" s="22"/>
      <c r="K72" s="22"/>
      <c r="L72" s="22"/>
      <c r="M72" s="22"/>
      <c r="N72" s="22"/>
    </row>
    <row r="73" spans="1:14" x14ac:dyDescent="0.25">
      <c r="A73" s="4">
        <v>72</v>
      </c>
      <c r="B73" s="6" t="s">
        <v>34</v>
      </c>
      <c r="C73" s="32">
        <v>39083</v>
      </c>
      <c r="D73" s="26"/>
      <c r="E73" s="26"/>
      <c r="F73" s="26"/>
      <c r="G73" s="26"/>
      <c r="H73" s="26"/>
      <c r="I73" s="26"/>
      <c r="J73" s="22">
        <f t="shared" si="4"/>
        <v>0</v>
      </c>
      <c r="K73" s="22">
        <f t="shared" si="5"/>
        <v>0</v>
      </c>
      <c r="L73" s="22">
        <f t="shared" si="6"/>
        <v>0</v>
      </c>
      <c r="M73" s="22">
        <f t="shared" si="7"/>
        <v>0</v>
      </c>
      <c r="N73" s="22"/>
    </row>
    <row r="74" spans="1:14" x14ac:dyDescent="0.25">
      <c r="A74" s="4">
        <v>73</v>
      </c>
      <c r="B74" s="6" t="s">
        <v>37</v>
      </c>
      <c r="C74" s="32">
        <v>40544</v>
      </c>
      <c r="D74" s="26"/>
      <c r="E74" s="26"/>
      <c r="F74" s="22"/>
      <c r="G74" s="22"/>
      <c r="H74" s="22"/>
      <c r="I74" s="22"/>
      <c r="J74" s="22">
        <f t="shared" si="4"/>
        <v>0</v>
      </c>
      <c r="K74" s="22">
        <f t="shared" si="5"/>
        <v>0</v>
      </c>
      <c r="L74" s="22">
        <f t="shared" si="6"/>
        <v>0</v>
      </c>
      <c r="M74" s="22">
        <f t="shared" si="7"/>
        <v>0</v>
      </c>
      <c r="N74" s="22"/>
    </row>
    <row r="75" spans="1:14" x14ac:dyDescent="0.25">
      <c r="A75" s="4">
        <v>74</v>
      </c>
      <c r="B75" s="6" t="s">
        <v>157</v>
      </c>
      <c r="C75" s="32">
        <v>41456</v>
      </c>
      <c r="D75" s="26"/>
      <c r="E75" s="26"/>
      <c r="F75" s="22"/>
      <c r="G75" s="22"/>
      <c r="H75" s="22"/>
      <c r="I75" s="22"/>
      <c r="J75" s="22">
        <f t="shared" si="4"/>
        <v>0</v>
      </c>
      <c r="K75" s="22">
        <f t="shared" si="5"/>
        <v>0</v>
      </c>
      <c r="L75" s="22">
        <f t="shared" si="6"/>
        <v>0</v>
      </c>
      <c r="M75" s="22">
        <f t="shared" si="7"/>
        <v>0</v>
      </c>
      <c r="N75" s="22"/>
    </row>
    <row r="76" spans="1:14" x14ac:dyDescent="0.25">
      <c r="A76" s="4">
        <v>75</v>
      </c>
      <c r="B76" s="6" t="s">
        <v>245</v>
      </c>
      <c r="C76" s="32">
        <v>42979</v>
      </c>
      <c r="D76" s="26">
        <v>43831</v>
      </c>
      <c r="E76" s="26">
        <v>43888</v>
      </c>
      <c r="F76" s="22"/>
      <c r="G76" s="22"/>
      <c r="H76" s="22"/>
      <c r="I76" s="22"/>
      <c r="J76" s="22">
        <f t="shared" si="4"/>
        <v>57</v>
      </c>
      <c r="K76" s="22">
        <f t="shared" si="5"/>
        <v>0</v>
      </c>
      <c r="L76" s="22">
        <f t="shared" si="6"/>
        <v>0</v>
      </c>
      <c r="M76" s="22">
        <f t="shared" si="7"/>
        <v>57</v>
      </c>
      <c r="N76" s="22"/>
    </row>
    <row r="77" spans="1:14" x14ac:dyDescent="0.25">
      <c r="A77" s="4">
        <v>76</v>
      </c>
      <c r="B77" s="6" t="s">
        <v>282</v>
      </c>
      <c r="C77" s="32"/>
      <c r="D77" s="26"/>
      <c r="E77" s="26"/>
      <c r="F77" s="22"/>
      <c r="G77" s="22"/>
      <c r="H77" s="22"/>
      <c r="I77" s="22"/>
      <c r="J77" s="22"/>
      <c r="K77" s="22"/>
      <c r="L77" s="22"/>
      <c r="M77" s="22"/>
      <c r="N77" s="22"/>
    </row>
    <row r="78" spans="1:14" x14ac:dyDescent="0.25">
      <c r="A78" s="4">
        <v>77</v>
      </c>
      <c r="B78" s="6" t="s">
        <v>283</v>
      </c>
      <c r="C78" s="32"/>
      <c r="D78" s="26"/>
      <c r="E78" s="26"/>
      <c r="F78" s="22"/>
      <c r="G78" s="22"/>
      <c r="H78" s="22"/>
      <c r="I78" s="22"/>
      <c r="J78" s="22"/>
      <c r="K78" s="22"/>
      <c r="L78" s="22"/>
      <c r="M78" s="22"/>
      <c r="N78" s="22"/>
    </row>
    <row r="79" spans="1:14" x14ac:dyDescent="0.25">
      <c r="A79" s="4">
        <v>78</v>
      </c>
      <c r="B79" s="6" t="s">
        <v>288</v>
      </c>
      <c r="C79" s="32"/>
      <c r="D79" s="26"/>
      <c r="E79" s="26"/>
      <c r="F79" s="22"/>
      <c r="G79" s="22"/>
      <c r="H79" s="22"/>
      <c r="I79" s="22"/>
      <c r="J79" s="22"/>
      <c r="K79" s="22"/>
      <c r="L79" s="22"/>
      <c r="M79" s="22"/>
      <c r="N79" s="22"/>
    </row>
    <row r="80" spans="1:14" x14ac:dyDescent="0.25">
      <c r="A80" s="4">
        <v>79</v>
      </c>
      <c r="B80" s="6" t="s">
        <v>40</v>
      </c>
      <c r="C80" s="32">
        <v>39083</v>
      </c>
      <c r="D80" s="26"/>
      <c r="E80" s="26"/>
      <c r="F80" s="22"/>
      <c r="G80" s="22"/>
      <c r="H80" s="22"/>
      <c r="I80" s="22"/>
      <c r="J80" s="22">
        <f t="shared" si="4"/>
        <v>0</v>
      </c>
      <c r="K80" s="22">
        <f t="shared" si="5"/>
        <v>0</v>
      </c>
      <c r="L80" s="22">
        <f t="shared" si="6"/>
        <v>0</v>
      </c>
      <c r="M80" s="22">
        <f t="shared" si="7"/>
        <v>0</v>
      </c>
      <c r="N80" s="22"/>
    </row>
    <row r="81" spans="1:14" x14ac:dyDescent="0.25">
      <c r="A81" s="4">
        <v>80</v>
      </c>
      <c r="B81" s="6" t="s">
        <v>284</v>
      </c>
      <c r="C81" s="32"/>
      <c r="D81" s="26"/>
      <c r="E81" s="26"/>
      <c r="F81" s="22"/>
      <c r="G81" s="22"/>
      <c r="H81" s="22"/>
      <c r="I81" s="22"/>
      <c r="J81" s="22"/>
      <c r="K81" s="22"/>
      <c r="L81" s="22"/>
      <c r="M81" s="22"/>
      <c r="N81" s="22"/>
    </row>
    <row r="82" spans="1:14" x14ac:dyDescent="0.25">
      <c r="A82" s="4">
        <v>81</v>
      </c>
      <c r="B82" s="6" t="s">
        <v>686</v>
      </c>
      <c r="C82" s="32">
        <v>42856</v>
      </c>
      <c r="D82" s="26"/>
      <c r="E82" s="26"/>
      <c r="F82" s="22"/>
      <c r="G82" s="22"/>
      <c r="H82" s="22"/>
      <c r="I82" s="22"/>
      <c r="J82" s="22">
        <f t="shared" si="4"/>
        <v>0</v>
      </c>
      <c r="K82" s="22">
        <f t="shared" si="5"/>
        <v>0</v>
      </c>
      <c r="L82" s="22">
        <f t="shared" si="6"/>
        <v>0</v>
      </c>
      <c r="M82" s="22">
        <f t="shared" si="7"/>
        <v>0</v>
      </c>
      <c r="N82" s="22"/>
    </row>
    <row r="83" spans="1:14" x14ac:dyDescent="0.25">
      <c r="A83" s="4">
        <v>82</v>
      </c>
      <c r="B83" s="6" t="s">
        <v>185</v>
      </c>
      <c r="C83" s="32">
        <v>41609</v>
      </c>
      <c r="D83" s="22"/>
      <c r="E83" s="22"/>
      <c r="F83" s="22"/>
      <c r="G83" s="22"/>
      <c r="H83" s="22"/>
      <c r="I83" s="22"/>
      <c r="J83" s="22">
        <f t="shared" si="4"/>
        <v>0</v>
      </c>
      <c r="K83" s="22">
        <f t="shared" si="5"/>
        <v>0</v>
      </c>
      <c r="L83" s="22">
        <f t="shared" si="6"/>
        <v>0</v>
      </c>
      <c r="M83" s="22">
        <f t="shared" si="7"/>
        <v>0</v>
      </c>
      <c r="N83" s="22"/>
    </row>
    <row r="84" spans="1:14" x14ac:dyDescent="0.25">
      <c r="A84" s="4">
        <v>83</v>
      </c>
      <c r="B84" s="6" t="s">
        <v>43</v>
      </c>
      <c r="C84" s="32">
        <v>40210</v>
      </c>
      <c r="D84" s="26"/>
      <c r="E84" s="26"/>
      <c r="F84" s="22"/>
      <c r="G84" s="22"/>
      <c r="H84" s="22"/>
      <c r="I84" s="22"/>
      <c r="J84" s="22">
        <f t="shared" si="4"/>
        <v>0</v>
      </c>
      <c r="K84" s="22">
        <f t="shared" si="5"/>
        <v>0</v>
      </c>
      <c r="L84" s="22">
        <f t="shared" si="6"/>
        <v>0</v>
      </c>
      <c r="M84" s="22">
        <f t="shared" si="7"/>
        <v>0</v>
      </c>
      <c r="N84" s="22"/>
    </row>
    <row r="85" spans="1:14" x14ac:dyDescent="0.25">
      <c r="A85" s="4">
        <v>84</v>
      </c>
      <c r="B85" s="6" t="s">
        <v>44</v>
      </c>
      <c r="C85" s="32">
        <v>39083</v>
      </c>
      <c r="D85" s="26">
        <v>44133</v>
      </c>
      <c r="E85" s="26">
        <v>44196</v>
      </c>
      <c r="F85" s="22"/>
      <c r="G85" s="22"/>
      <c r="H85" s="22"/>
      <c r="I85" s="22"/>
      <c r="J85" s="22">
        <f t="shared" si="4"/>
        <v>63</v>
      </c>
      <c r="K85" s="22">
        <f t="shared" si="5"/>
        <v>0</v>
      </c>
      <c r="L85" s="22">
        <f t="shared" si="6"/>
        <v>0</v>
      </c>
      <c r="M85" s="22">
        <f t="shared" si="7"/>
        <v>63</v>
      </c>
      <c r="N85" s="22" t="s">
        <v>246</v>
      </c>
    </row>
    <row r="86" spans="1:14" x14ac:dyDescent="0.25">
      <c r="A86" s="4">
        <v>85</v>
      </c>
      <c r="B86" s="6" t="s">
        <v>46</v>
      </c>
      <c r="C86" s="32">
        <v>39083</v>
      </c>
      <c r="D86" s="26">
        <v>43862</v>
      </c>
      <c r="E86" s="26">
        <v>44037</v>
      </c>
      <c r="F86" s="22"/>
      <c r="G86" s="22"/>
      <c r="H86" s="22"/>
      <c r="I86" s="22"/>
      <c r="J86" s="22">
        <f t="shared" si="4"/>
        <v>175</v>
      </c>
      <c r="K86" s="22">
        <f t="shared" si="5"/>
        <v>0</v>
      </c>
      <c r="L86" s="22">
        <f t="shared" si="6"/>
        <v>0</v>
      </c>
      <c r="M86" s="22">
        <f t="shared" si="7"/>
        <v>175</v>
      </c>
      <c r="N86" s="22"/>
    </row>
    <row r="87" spans="1:14" x14ac:dyDescent="0.25">
      <c r="A87" s="4">
        <v>86</v>
      </c>
      <c r="B87" s="6" t="s">
        <v>49</v>
      </c>
      <c r="C87" s="32">
        <v>39326</v>
      </c>
      <c r="D87" s="26"/>
      <c r="E87" s="26"/>
      <c r="F87" s="22"/>
      <c r="G87" s="22"/>
      <c r="H87" s="22"/>
      <c r="I87" s="22"/>
      <c r="J87" s="22">
        <f t="shared" si="4"/>
        <v>0</v>
      </c>
      <c r="K87" s="22">
        <f t="shared" si="5"/>
        <v>0</v>
      </c>
      <c r="L87" s="22">
        <f t="shared" si="6"/>
        <v>0</v>
      </c>
      <c r="M87" s="22">
        <f t="shared" si="7"/>
        <v>0</v>
      </c>
      <c r="N87" s="22"/>
    </row>
    <row r="88" spans="1:14" x14ac:dyDescent="0.25">
      <c r="A88" s="4">
        <v>87</v>
      </c>
      <c r="B88" s="6" t="s">
        <v>51</v>
      </c>
      <c r="C88" s="32">
        <v>39783</v>
      </c>
      <c r="D88" s="26">
        <v>43862</v>
      </c>
      <c r="E88" s="26">
        <v>43902</v>
      </c>
      <c r="F88" s="22"/>
      <c r="G88" s="22"/>
      <c r="H88" s="22"/>
      <c r="I88" s="22"/>
      <c r="J88" s="22">
        <f t="shared" si="4"/>
        <v>40</v>
      </c>
      <c r="K88" s="22">
        <f t="shared" si="5"/>
        <v>0</v>
      </c>
      <c r="L88" s="22">
        <f t="shared" si="6"/>
        <v>0</v>
      </c>
      <c r="M88" s="22">
        <f t="shared" si="7"/>
        <v>40</v>
      </c>
      <c r="N88" s="22"/>
    </row>
    <row r="89" spans="1:14" x14ac:dyDescent="0.25">
      <c r="A89" s="4">
        <v>88</v>
      </c>
      <c r="B89" s="6" t="s">
        <v>53</v>
      </c>
      <c r="C89" s="32">
        <v>40664</v>
      </c>
      <c r="D89" s="26"/>
      <c r="E89" s="26"/>
      <c r="F89" s="22"/>
      <c r="G89" s="22"/>
      <c r="H89" s="22"/>
      <c r="I89" s="22"/>
      <c r="J89" s="22">
        <f t="shared" si="4"/>
        <v>0</v>
      </c>
      <c r="K89" s="22">
        <f t="shared" si="5"/>
        <v>0</v>
      </c>
      <c r="L89" s="22">
        <f t="shared" si="6"/>
        <v>0</v>
      </c>
      <c r="M89" s="22">
        <f t="shared" si="7"/>
        <v>0</v>
      </c>
      <c r="N89" s="22"/>
    </row>
    <row r="90" spans="1:14" x14ac:dyDescent="0.25">
      <c r="A90" s="4">
        <v>89</v>
      </c>
      <c r="B90" s="6" t="s">
        <v>54</v>
      </c>
      <c r="C90" s="32">
        <v>40695</v>
      </c>
      <c r="D90" s="22"/>
      <c r="E90" s="22"/>
      <c r="F90" s="22"/>
      <c r="G90" s="22"/>
      <c r="H90" s="22"/>
      <c r="I90" s="22"/>
      <c r="J90" s="22">
        <f t="shared" si="4"/>
        <v>0</v>
      </c>
      <c r="K90" s="22">
        <f t="shared" si="5"/>
        <v>0</v>
      </c>
      <c r="L90" s="22">
        <f t="shared" si="6"/>
        <v>0</v>
      </c>
      <c r="M90" s="22">
        <f t="shared" si="7"/>
        <v>0</v>
      </c>
      <c r="N90" s="22"/>
    </row>
    <row r="91" spans="1:14" x14ac:dyDescent="0.25">
      <c r="A91" s="4">
        <v>90</v>
      </c>
      <c r="B91" s="6" t="s">
        <v>186</v>
      </c>
      <c r="C91" s="32">
        <v>41791</v>
      </c>
      <c r="D91" s="26"/>
      <c r="E91" s="26"/>
      <c r="F91" s="22"/>
      <c r="G91" s="22"/>
      <c r="H91" s="22"/>
      <c r="I91" s="22"/>
      <c r="J91" s="22">
        <f>E91-D91</f>
        <v>0</v>
      </c>
      <c r="K91" s="22">
        <f>G91-F91</f>
        <v>0</v>
      </c>
      <c r="L91" s="22">
        <f>I91-H91</f>
        <v>0</v>
      </c>
      <c r="M91" s="22">
        <f>J91+K91+L91</f>
        <v>0</v>
      </c>
      <c r="N91" s="22"/>
    </row>
    <row r="92" spans="1:14" ht="19.5" customHeight="1" x14ac:dyDescent="0.25">
      <c r="A92" s="4">
        <v>91</v>
      </c>
      <c r="B92" s="6" t="s">
        <v>188</v>
      </c>
      <c r="C92" s="32">
        <v>41852</v>
      </c>
      <c r="D92" s="26">
        <v>44041</v>
      </c>
      <c r="E92" s="26">
        <v>44082</v>
      </c>
      <c r="F92" s="22"/>
      <c r="G92" s="22"/>
      <c r="H92" s="22"/>
      <c r="I92" s="22"/>
      <c r="J92" s="22">
        <f t="shared" si="4"/>
        <v>41</v>
      </c>
      <c r="K92" s="22">
        <f t="shared" si="5"/>
        <v>0</v>
      </c>
      <c r="L92" s="22">
        <f t="shared" si="6"/>
        <v>0</v>
      </c>
      <c r="M92" s="22">
        <f t="shared" si="7"/>
        <v>41</v>
      </c>
      <c r="N92" s="22"/>
    </row>
    <row r="93" spans="1:14" x14ac:dyDescent="0.25">
      <c r="A93" s="4">
        <v>92</v>
      </c>
      <c r="B93" s="6" t="s">
        <v>203</v>
      </c>
      <c r="C93" s="32">
        <v>42156</v>
      </c>
      <c r="D93" s="26">
        <v>43831</v>
      </c>
      <c r="E93" s="26">
        <v>43883</v>
      </c>
      <c r="F93" s="22"/>
      <c r="G93" s="22"/>
      <c r="H93" s="22"/>
      <c r="I93" s="22"/>
      <c r="J93" s="22">
        <f t="shared" si="4"/>
        <v>52</v>
      </c>
      <c r="K93" s="22">
        <f t="shared" si="5"/>
        <v>0</v>
      </c>
      <c r="L93" s="22">
        <f t="shared" si="6"/>
        <v>0</v>
      </c>
      <c r="M93" s="22">
        <f t="shared" si="7"/>
        <v>52</v>
      </c>
      <c r="N93" s="22"/>
    </row>
    <row r="94" spans="1:14" x14ac:dyDescent="0.25">
      <c r="A94" s="4">
        <v>93</v>
      </c>
      <c r="B94" s="6" t="s">
        <v>204</v>
      </c>
      <c r="C94" s="32">
        <v>42140</v>
      </c>
      <c r="D94" s="26">
        <v>44168</v>
      </c>
      <c r="E94" s="26">
        <v>44196</v>
      </c>
      <c r="F94" s="22"/>
      <c r="G94" s="22"/>
      <c r="H94" s="22"/>
      <c r="I94" s="22"/>
      <c r="J94" s="22">
        <f t="shared" si="4"/>
        <v>28</v>
      </c>
      <c r="K94" s="22">
        <f t="shared" si="5"/>
        <v>0</v>
      </c>
      <c r="L94" s="22">
        <f t="shared" si="6"/>
        <v>0</v>
      </c>
      <c r="M94" s="22">
        <f t="shared" si="7"/>
        <v>28</v>
      </c>
      <c r="N94" s="22" t="s">
        <v>246</v>
      </c>
    </row>
    <row r="95" spans="1:14" x14ac:dyDescent="0.25">
      <c r="A95" s="4">
        <v>94</v>
      </c>
      <c r="B95" s="6" t="s">
        <v>289</v>
      </c>
      <c r="C95" s="55">
        <v>42461</v>
      </c>
      <c r="D95" s="26"/>
      <c r="E95" s="26"/>
      <c r="F95" s="22"/>
      <c r="G95" s="22"/>
      <c r="H95" s="22"/>
      <c r="I95" s="22"/>
      <c r="J95" s="22">
        <f t="shared" si="4"/>
        <v>0</v>
      </c>
      <c r="K95" s="22">
        <f t="shared" si="5"/>
        <v>0</v>
      </c>
      <c r="L95" s="22">
        <f t="shared" si="6"/>
        <v>0</v>
      </c>
      <c r="M95" s="22">
        <f t="shared" si="7"/>
        <v>0</v>
      </c>
      <c r="N95" s="22"/>
    </row>
    <row r="96" spans="1:14" x14ac:dyDescent="0.25">
      <c r="A96" s="4">
        <v>95</v>
      </c>
      <c r="B96" s="6" t="s">
        <v>248</v>
      </c>
      <c r="C96" s="55">
        <v>43040</v>
      </c>
      <c r="D96" s="22"/>
      <c r="E96" s="22"/>
      <c r="F96" s="22"/>
      <c r="G96" s="22"/>
      <c r="H96" s="22"/>
      <c r="I96" s="22"/>
      <c r="J96" s="22">
        <f t="shared" si="4"/>
        <v>0</v>
      </c>
      <c r="K96" s="22">
        <f t="shared" si="5"/>
        <v>0</v>
      </c>
      <c r="L96" s="22">
        <f t="shared" si="6"/>
        <v>0</v>
      </c>
      <c r="M96" s="22">
        <f t="shared" si="7"/>
        <v>0</v>
      </c>
      <c r="N96" s="22"/>
    </row>
    <row r="97" spans="1:14" x14ac:dyDescent="0.25">
      <c r="A97" s="4">
        <v>96</v>
      </c>
      <c r="B97" s="6" t="s">
        <v>249</v>
      </c>
      <c r="C97" s="55">
        <v>43040</v>
      </c>
      <c r="D97" s="26">
        <v>44109</v>
      </c>
      <c r="E97" s="26">
        <v>44188</v>
      </c>
      <c r="F97" s="22"/>
      <c r="G97" s="22"/>
      <c r="H97" s="22"/>
      <c r="I97" s="22"/>
      <c r="J97" s="22">
        <f t="shared" si="4"/>
        <v>79</v>
      </c>
      <c r="K97" s="22">
        <f t="shared" si="5"/>
        <v>0</v>
      </c>
      <c r="L97" s="22">
        <f t="shared" si="6"/>
        <v>0</v>
      </c>
      <c r="M97" s="22">
        <f t="shared" si="7"/>
        <v>79</v>
      </c>
      <c r="N97" s="22"/>
    </row>
    <row r="98" spans="1:14" x14ac:dyDescent="0.25">
      <c r="A98" s="4">
        <v>97</v>
      </c>
      <c r="B98" s="6" t="s">
        <v>274</v>
      </c>
      <c r="C98" s="55">
        <v>43678</v>
      </c>
      <c r="D98" s="26"/>
      <c r="E98" s="26"/>
      <c r="F98" s="22"/>
      <c r="G98" s="22"/>
      <c r="H98" s="22"/>
      <c r="I98" s="22"/>
      <c r="J98" s="22">
        <f t="shared" si="4"/>
        <v>0</v>
      </c>
      <c r="K98" s="22">
        <f t="shared" si="5"/>
        <v>0</v>
      </c>
      <c r="L98" s="22">
        <f t="shared" si="6"/>
        <v>0</v>
      </c>
      <c r="M98" s="22">
        <f t="shared" si="7"/>
        <v>0</v>
      </c>
      <c r="N98" s="22"/>
    </row>
    <row r="103" spans="1:14" x14ac:dyDescent="0.25">
      <c r="A103" s="4">
        <v>93</v>
      </c>
      <c r="B103" s="6" t="s">
        <v>52</v>
      </c>
      <c r="C103" s="32">
        <v>40544</v>
      </c>
      <c r="D103" s="26"/>
      <c r="E103" s="26"/>
      <c r="F103" s="22"/>
      <c r="G103" s="22"/>
      <c r="H103" s="22"/>
      <c r="I103" s="22"/>
      <c r="J103" s="22">
        <f>E103-D103</f>
        <v>0</v>
      </c>
      <c r="K103" s="22">
        <f>G103-F103</f>
        <v>0</v>
      </c>
      <c r="L103" s="22">
        <f>I103-H103</f>
        <v>0</v>
      </c>
      <c r="M103" s="22">
        <f>J103+K103+L103</f>
        <v>0</v>
      </c>
      <c r="N103" s="22"/>
    </row>
    <row r="104" spans="1:14" x14ac:dyDescent="0.25">
      <c r="A104" s="4">
        <v>84</v>
      </c>
      <c r="B104" s="6" t="s">
        <v>267</v>
      </c>
      <c r="C104" s="32">
        <v>43617</v>
      </c>
      <c r="D104" s="26"/>
      <c r="E104" s="26"/>
      <c r="F104" s="22"/>
      <c r="G104" s="22"/>
      <c r="H104" s="22"/>
      <c r="I104" s="22"/>
      <c r="J104" s="22">
        <f>E104-D104</f>
        <v>0</v>
      </c>
      <c r="K104" s="22">
        <f>G104-F104</f>
        <v>0</v>
      </c>
      <c r="L104" s="22">
        <f>I104-H104</f>
        <v>0</v>
      </c>
      <c r="M104" s="22">
        <f>J104+K104+L104</f>
        <v>0</v>
      </c>
      <c r="N104" s="22"/>
    </row>
    <row r="105" spans="1:14" x14ac:dyDescent="0.25">
      <c r="A105" s="4">
        <v>67</v>
      </c>
      <c r="B105" s="58" t="s">
        <v>273</v>
      </c>
      <c r="C105" s="52">
        <v>43647</v>
      </c>
      <c r="D105" s="26">
        <v>43852</v>
      </c>
      <c r="E105" s="26">
        <v>43902</v>
      </c>
      <c r="F105" s="22"/>
      <c r="G105" s="22"/>
      <c r="H105" s="22"/>
      <c r="I105" s="22"/>
      <c r="J105" s="22">
        <f>E105-D105</f>
        <v>50</v>
      </c>
      <c r="K105" s="22">
        <f>G105-F105</f>
        <v>0</v>
      </c>
      <c r="L105" s="22">
        <f>I105-H105</f>
        <v>0</v>
      </c>
      <c r="M105" s="22">
        <f>J105+K105+L105</f>
        <v>50</v>
      </c>
      <c r="N105" s="22"/>
    </row>
    <row r="106" spans="1:14" x14ac:dyDescent="0.25">
      <c r="A106" s="4">
        <v>51</v>
      </c>
      <c r="B106" s="6" t="s">
        <v>247</v>
      </c>
      <c r="C106" s="52">
        <v>43040</v>
      </c>
      <c r="D106" s="26"/>
      <c r="E106" s="26"/>
      <c r="F106" s="22"/>
      <c r="G106" s="22"/>
      <c r="H106" s="22"/>
      <c r="I106" s="22"/>
      <c r="J106" s="22">
        <f>E106-D106</f>
        <v>0</v>
      </c>
      <c r="K106" s="22">
        <f>G106-F106</f>
        <v>0</v>
      </c>
      <c r="L106" s="22">
        <f>I106-H106</f>
        <v>0</v>
      </c>
      <c r="M106" s="22">
        <f>J106+K106+L106</f>
        <v>0</v>
      </c>
      <c r="N106" s="22"/>
    </row>
    <row r="107" spans="1:14" x14ac:dyDescent="0.25">
      <c r="A107" s="4">
        <v>20</v>
      </c>
      <c r="B107" s="6" t="s">
        <v>135</v>
      </c>
      <c r="C107" s="52">
        <v>41183</v>
      </c>
      <c r="D107" s="26">
        <v>43148</v>
      </c>
      <c r="E107" s="26">
        <v>43281</v>
      </c>
      <c r="F107" s="26"/>
      <c r="G107" s="26"/>
      <c r="H107" s="22"/>
      <c r="I107" s="22"/>
      <c r="J107" s="22">
        <f t="shared" ref="J107:J112" si="8">E107-D107</f>
        <v>133</v>
      </c>
      <c r="K107" s="22">
        <f t="shared" ref="K107:K112" si="9">G107-F107</f>
        <v>0</v>
      </c>
      <c r="L107" s="22">
        <f t="shared" ref="L107:L112" si="10">I107-H107</f>
        <v>0</v>
      </c>
      <c r="M107" s="22">
        <f t="shared" ref="M107:M112" si="11">J107+K107+L107</f>
        <v>133</v>
      </c>
      <c r="N107" s="22" t="s">
        <v>255</v>
      </c>
    </row>
    <row r="108" spans="1:14" x14ac:dyDescent="0.25">
      <c r="A108" s="4">
        <v>35</v>
      </c>
      <c r="B108" s="6" t="s">
        <v>195</v>
      </c>
      <c r="C108" s="44">
        <v>42005</v>
      </c>
      <c r="D108" s="26">
        <v>43302</v>
      </c>
      <c r="E108" s="26">
        <v>43366</v>
      </c>
      <c r="F108" s="22"/>
      <c r="G108" s="22"/>
      <c r="H108" s="22"/>
      <c r="I108" s="22"/>
      <c r="J108" s="22">
        <f t="shared" si="8"/>
        <v>64</v>
      </c>
      <c r="K108" s="22">
        <f t="shared" si="9"/>
        <v>0</v>
      </c>
      <c r="L108" s="22">
        <f t="shared" si="10"/>
        <v>0</v>
      </c>
      <c r="M108" s="22">
        <f t="shared" si="11"/>
        <v>64</v>
      </c>
      <c r="N108" s="22"/>
    </row>
    <row r="109" spans="1:14" x14ac:dyDescent="0.25">
      <c r="A109" s="4">
        <v>48</v>
      </c>
      <c r="B109" s="6" t="s">
        <v>224</v>
      </c>
      <c r="C109" s="52">
        <v>42522</v>
      </c>
      <c r="D109" s="26">
        <v>43101</v>
      </c>
      <c r="E109" s="26">
        <v>43127</v>
      </c>
      <c r="F109" s="26"/>
      <c r="G109" s="26"/>
      <c r="H109" s="22"/>
      <c r="I109" s="22"/>
      <c r="J109" s="22">
        <f t="shared" si="8"/>
        <v>26</v>
      </c>
      <c r="K109" s="22">
        <f t="shared" si="9"/>
        <v>0</v>
      </c>
      <c r="L109" s="22">
        <f t="shared" si="10"/>
        <v>0</v>
      </c>
      <c r="M109" s="22">
        <f t="shared" si="11"/>
        <v>26</v>
      </c>
      <c r="N109" s="22" t="s">
        <v>255</v>
      </c>
    </row>
    <row r="110" spans="1:14" x14ac:dyDescent="0.25">
      <c r="A110" s="4">
        <v>4</v>
      </c>
      <c r="B110" s="6" t="s">
        <v>193</v>
      </c>
      <c r="C110" s="32">
        <v>42036</v>
      </c>
      <c r="D110" s="26"/>
      <c r="E110" s="26"/>
      <c r="F110" s="22"/>
      <c r="G110" s="22"/>
      <c r="H110" s="22"/>
      <c r="I110" s="22"/>
      <c r="J110" s="22">
        <f t="shared" si="8"/>
        <v>0</v>
      </c>
      <c r="K110" s="22">
        <f t="shared" si="9"/>
        <v>0</v>
      </c>
      <c r="L110" s="22">
        <f t="shared" si="10"/>
        <v>0</v>
      </c>
      <c r="M110" s="22">
        <f t="shared" si="11"/>
        <v>0</v>
      </c>
      <c r="N110" s="22"/>
    </row>
    <row r="111" spans="1:14" x14ac:dyDescent="0.25">
      <c r="A111" s="4">
        <v>20</v>
      </c>
      <c r="B111" s="6" t="s">
        <v>162</v>
      </c>
      <c r="C111" s="52">
        <v>41487</v>
      </c>
      <c r="D111" s="26"/>
      <c r="E111" s="26"/>
      <c r="F111" s="22"/>
      <c r="G111" s="22"/>
      <c r="H111" s="22"/>
      <c r="I111" s="22"/>
      <c r="J111" s="22">
        <f t="shared" si="8"/>
        <v>0</v>
      </c>
      <c r="K111" s="22">
        <f t="shared" si="9"/>
        <v>0</v>
      </c>
      <c r="L111" s="22">
        <f t="shared" si="10"/>
        <v>0</v>
      </c>
      <c r="M111" s="22">
        <f t="shared" si="11"/>
        <v>0</v>
      </c>
      <c r="N111" s="22"/>
    </row>
    <row r="112" spans="1:14" x14ac:dyDescent="0.25">
      <c r="A112" s="4">
        <v>74</v>
      </c>
      <c r="B112" s="6" t="s">
        <v>47</v>
      </c>
      <c r="C112" s="35">
        <v>39173</v>
      </c>
      <c r="D112" s="26"/>
      <c r="E112" s="26"/>
      <c r="F112" s="22"/>
      <c r="G112" s="22"/>
      <c r="H112" s="22"/>
      <c r="I112" s="22"/>
      <c r="J112" s="22">
        <f t="shared" si="8"/>
        <v>0</v>
      </c>
      <c r="K112" s="22">
        <f t="shared" si="9"/>
        <v>0</v>
      </c>
      <c r="L112" s="22">
        <f t="shared" si="10"/>
        <v>0</v>
      </c>
      <c r="M112" s="22">
        <f t="shared" si="11"/>
        <v>0</v>
      </c>
      <c r="N112" s="22"/>
    </row>
    <row r="113" spans="1:14" x14ac:dyDescent="0.25">
      <c r="A113" s="4">
        <v>20</v>
      </c>
      <c r="B113" s="6" t="s">
        <v>22</v>
      </c>
      <c r="C113" s="52">
        <v>40695</v>
      </c>
      <c r="D113" s="26">
        <v>43501</v>
      </c>
      <c r="E113" s="26">
        <v>43510</v>
      </c>
      <c r="F113" s="22"/>
      <c r="G113" s="22"/>
      <c r="H113" s="22"/>
      <c r="I113" s="22"/>
      <c r="J113" s="22">
        <f>E113-D113</f>
        <v>9</v>
      </c>
      <c r="K113" s="22">
        <f>G113-F113</f>
        <v>0</v>
      </c>
      <c r="L113" s="22">
        <f>I113-H113</f>
        <v>0</v>
      </c>
      <c r="M113" s="22">
        <f>J113+K113+L113</f>
        <v>9</v>
      </c>
      <c r="N113" s="22"/>
    </row>
    <row r="114" spans="1:14" x14ac:dyDescent="0.25">
      <c r="A114" s="4">
        <v>47</v>
      </c>
      <c r="B114" s="6" t="s">
        <v>228</v>
      </c>
      <c r="C114" s="52">
        <v>42675</v>
      </c>
      <c r="D114" s="26">
        <v>43466</v>
      </c>
      <c r="E114" s="26">
        <v>43505</v>
      </c>
      <c r="F114" s="22"/>
      <c r="G114" s="22"/>
      <c r="H114" s="22"/>
      <c r="I114" s="22"/>
      <c r="J114" s="22">
        <f>E114-D114</f>
        <v>39</v>
      </c>
      <c r="K114" s="22">
        <f>G114-F114</f>
        <v>0</v>
      </c>
      <c r="L114" s="22">
        <f>I114-H114</f>
        <v>0</v>
      </c>
      <c r="M114" s="22">
        <f>J114+K114+L114</f>
        <v>39</v>
      </c>
      <c r="N114" s="22"/>
    </row>
    <row r="115" spans="1:14" x14ac:dyDescent="0.25">
      <c r="A115" s="4">
        <v>91</v>
      </c>
      <c r="B115" s="6" t="s">
        <v>237</v>
      </c>
      <c r="C115" s="32">
        <v>42856</v>
      </c>
      <c r="D115" s="26"/>
      <c r="E115" s="26"/>
      <c r="F115" s="22"/>
      <c r="G115" s="22"/>
      <c r="H115" s="22"/>
      <c r="I115" s="22"/>
      <c r="J115" s="22">
        <f>E115-D115</f>
        <v>0</v>
      </c>
      <c r="K115" s="22">
        <f>G115-F115</f>
        <v>0</v>
      </c>
      <c r="L115" s="22">
        <f>I115-H115</f>
        <v>0</v>
      </c>
      <c r="M115" s="22">
        <f>J115+K115+L115</f>
        <v>0</v>
      </c>
      <c r="N115" s="22"/>
    </row>
    <row r="116" spans="1:14" x14ac:dyDescent="0.25">
      <c r="A116" s="4">
        <v>35</v>
      </c>
      <c r="B116" s="6" t="s">
        <v>198</v>
      </c>
      <c r="C116" s="44">
        <v>42064</v>
      </c>
      <c r="D116" s="26"/>
      <c r="E116" s="26"/>
      <c r="F116" s="22"/>
      <c r="G116" s="22"/>
      <c r="H116" s="22"/>
      <c r="I116" s="22"/>
      <c r="J116" s="22">
        <f>E116-D116</f>
        <v>0</v>
      </c>
      <c r="K116" s="22">
        <f>G116-F116</f>
        <v>0</v>
      </c>
      <c r="L116" s="22">
        <f>I116-H116</f>
        <v>0</v>
      </c>
      <c r="M116" s="22">
        <f>J116+K116+L116</f>
        <v>0</v>
      </c>
      <c r="N116" s="22"/>
    </row>
    <row r="117" spans="1:14" x14ac:dyDescent="0.25">
      <c r="A117" s="4">
        <v>24</v>
      </c>
      <c r="B117" s="6" t="s">
        <v>153</v>
      </c>
      <c r="C117" s="52">
        <v>41395</v>
      </c>
      <c r="D117" s="26"/>
      <c r="E117" s="26"/>
      <c r="F117" s="22"/>
      <c r="G117" s="22"/>
      <c r="H117" s="22"/>
      <c r="I117" s="22"/>
      <c r="J117" s="22">
        <f>E117-D117</f>
        <v>0</v>
      </c>
      <c r="K117" s="22">
        <f>G117-F117</f>
        <v>0</v>
      </c>
      <c r="L117" s="22">
        <f>I117-H117</f>
        <v>0</v>
      </c>
      <c r="M117" s="22">
        <f>J117+K117+L117</f>
        <v>0</v>
      </c>
      <c r="N117" s="22"/>
    </row>
    <row r="118" spans="1:14" x14ac:dyDescent="0.25">
      <c r="A118" s="4">
        <v>7</v>
      </c>
      <c r="B118" s="6" t="s">
        <v>275</v>
      </c>
      <c r="C118" s="32"/>
      <c r="D118" s="26"/>
      <c r="E118" s="26"/>
      <c r="F118" s="26"/>
      <c r="G118" s="26"/>
      <c r="H118" s="22"/>
      <c r="I118" s="22"/>
      <c r="J118" s="22"/>
      <c r="K118" s="22"/>
      <c r="L118" s="22"/>
      <c r="M118" s="22"/>
      <c r="N118" s="22"/>
    </row>
    <row r="119" spans="1:14" x14ac:dyDescent="0.25">
      <c r="A119" s="4">
        <v>66</v>
      </c>
      <c r="B119" s="58" t="s">
        <v>271</v>
      </c>
      <c r="C119" s="52">
        <v>43647</v>
      </c>
      <c r="D119" s="26">
        <v>43831</v>
      </c>
      <c r="E119" s="26">
        <v>43861</v>
      </c>
      <c r="F119" s="22"/>
      <c r="G119" s="22"/>
      <c r="H119" s="22"/>
      <c r="I119" s="22"/>
      <c r="J119" s="22">
        <f t="shared" ref="J119:J127" si="12">E119-D119</f>
        <v>30</v>
      </c>
      <c r="K119" s="22">
        <f t="shared" ref="K119:K127" si="13">G119-F119</f>
        <v>0</v>
      </c>
      <c r="L119" s="22">
        <f t="shared" ref="L119:L127" si="14">I119-H119</f>
        <v>0</v>
      </c>
      <c r="M119" s="22">
        <f t="shared" ref="M119:M127" si="15">J119+K119+L119</f>
        <v>30</v>
      </c>
      <c r="N119" s="22" t="s">
        <v>246</v>
      </c>
    </row>
    <row r="120" spans="1:14" x14ac:dyDescent="0.25">
      <c r="A120" s="4">
        <v>22</v>
      </c>
      <c r="B120" s="6" t="s">
        <v>161</v>
      </c>
      <c r="C120" s="52">
        <v>41487</v>
      </c>
      <c r="D120" s="26"/>
      <c r="E120" s="26"/>
      <c r="F120" s="22"/>
      <c r="G120" s="22"/>
      <c r="H120" s="22"/>
      <c r="I120" s="22"/>
      <c r="J120" s="22">
        <f t="shared" si="12"/>
        <v>0</v>
      </c>
      <c r="K120" s="22">
        <f t="shared" si="13"/>
        <v>0</v>
      </c>
      <c r="L120" s="22">
        <f t="shared" si="14"/>
        <v>0</v>
      </c>
      <c r="M120" s="22">
        <f t="shared" si="15"/>
        <v>0</v>
      </c>
      <c r="N120" s="22"/>
    </row>
    <row r="121" spans="1:14" x14ac:dyDescent="0.25">
      <c r="A121" s="4">
        <v>25</v>
      </c>
      <c r="B121" s="6" t="s">
        <v>170</v>
      </c>
      <c r="C121" s="52">
        <v>41671</v>
      </c>
      <c r="D121" s="26"/>
      <c r="E121" s="26"/>
      <c r="F121" s="22"/>
      <c r="G121" s="22"/>
      <c r="H121" s="22"/>
      <c r="I121" s="22"/>
      <c r="J121" s="22">
        <f t="shared" si="12"/>
        <v>0</v>
      </c>
      <c r="K121" s="22">
        <f t="shared" si="13"/>
        <v>0</v>
      </c>
      <c r="L121" s="22">
        <f t="shared" si="14"/>
        <v>0</v>
      </c>
      <c r="M121" s="22">
        <f t="shared" si="15"/>
        <v>0</v>
      </c>
      <c r="N121" s="22"/>
    </row>
    <row r="122" spans="1:14" x14ac:dyDescent="0.25">
      <c r="A122" s="4">
        <v>41</v>
      </c>
      <c r="B122" s="6" t="s">
        <v>233</v>
      </c>
      <c r="C122" s="52">
        <v>42826</v>
      </c>
      <c r="D122" s="26"/>
      <c r="E122" s="26"/>
      <c r="F122" s="22"/>
      <c r="G122" s="22"/>
      <c r="H122" s="22"/>
      <c r="I122" s="22"/>
      <c r="J122" s="22">
        <f t="shared" si="12"/>
        <v>0</v>
      </c>
      <c r="K122" s="22">
        <f t="shared" si="13"/>
        <v>0</v>
      </c>
      <c r="L122" s="22">
        <f t="shared" si="14"/>
        <v>0</v>
      </c>
      <c r="M122" s="22">
        <f t="shared" si="15"/>
        <v>0</v>
      </c>
      <c r="N122" s="22"/>
    </row>
    <row r="123" spans="1:14" x14ac:dyDescent="0.25">
      <c r="A123" s="4">
        <v>76</v>
      </c>
      <c r="B123" s="6" t="s">
        <v>35</v>
      </c>
      <c r="C123" s="32">
        <v>39083</v>
      </c>
      <c r="D123" s="26"/>
      <c r="E123" s="26"/>
      <c r="F123" s="22"/>
      <c r="G123" s="22"/>
      <c r="H123" s="22"/>
      <c r="I123" s="22"/>
      <c r="J123" s="22">
        <f t="shared" si="12"/>
        <v>0</v>
      </c>
      <c r="K123" s="22">
        <f t="shared" si="13"/>
        <v>0</v>
      </c>
      <c r="L123" s="22">
        <f t="shared" si="14"/>
        <v>0</v>
      </c>
      <c r="M123" s="22">
        <f t="shared" si="15"/>
        <v>0</v>
      </c>
      <c r="N123" s="22"/>
    </row>
    <row r="124" spans="1:14" x14ac:dyDescent="0.25">
      <c r="A124" s="4">
        <v>39</v>
      </c>
      <c r="B124" s="6" t="s">
        <v>239</v>
      </c>
      <c r="C124" s="52">
        <v>42795</v>
      </c>
      <c r="D124" s="26"/>
      <c r="E124" s="26"/>
      <c r="F124" s="22"/>
      <c r="G124" s="22"/>
      <c r="H124" s="22"/>
      <c r="I124" s="22"/>
      <c r="J124" s="22">
        <f t="shared" si="12"/>
        <v>0</v>
      </c>
      <c r="K124" s="22">
        <f t="shared" si="13"/>
        <v>0</v>
      </c>
      <c r="L124" s="22">
        <f t="shared" si="14"/>
        <v>0</v>
      </c>
      <c r="M124" s="22">
        <f t="shared" si="15"/>
        <v>0</v>
      </c>
      <c r="N124" s="22"/>
    </row>
    <row r="125" spans="1:14" x14ac:dyDescent="0.25">
      <c r="A125" s="4">
        <v>43</v>
      </c>
      <c r="B125" s="6" t="s">
        <v>236</v>
      </c>
      <c r="C125" s="52">
        <v>42856</v>
      </c>
      <c r="D125" s="26"/>
      <c r="E125" s="26"/>
      <c r="F125" s="22"/>
      <c r="G125" s="22"/>
      <c r="H125" s="22"/>
      <c r="I125" s="22"/>
      <c r="J125" s="22">
        <f t="shared" si="12"/>
        <v>0</v>
      </c>
      <c r="K125" s="22">
        <f t="shared" si="13"/>
        <v>0</v>
      </c>
      <c r="L125" s="22">
        <f t="shared" si="14"/>
        <v>0</v>
      </c>
      <c r="M125" s="22">
        <f t="shared" si="15"/>
        <v>0</v>
      </c>
      <c r="N125" s="22"/>
    </row>
    <row r="126" spans="1:14" x14ac:dyDescent="0.25">
      <c r="A126" s="4">
        <v>44</v>
      </c>
      <c r="B126" s="6" t="s">
        <v>243</v>
      </c>
      <c r="C126" s="52">
        <v>42979</v>
      </c>
      <c r="D126" s="22"/>
      <c r="E126" s="22"/>
      <c r="F126" s="22"/>
      <c r="G126" s="22"/>
      <c r="H126" s="22"/>
      <c r="I126" s="22"/>
      <c r="J126" s="22">
        <f t="shared" si="12"/>
        <v>0</v>
      </c>
      <c r="K126" s="22">
        <f t="shared" si="13"/>
        <v>0</v>
      </c>
      <c r="L126" s="22">
        <f t="shared" si="14"/>
        <v>0</v>
      </c>
      <c r="M126" s="22">
        <f t="shared" si="15"/>
        <v>0</v>
      </c>
      <c r="N126" s="22"/>
    </row>
    <row r="127" spans="1:14" x14ac:dyDescent="0.25">
      <c r="A127" s="4">
        <v>64</v>
      </c>
      <c r="B127" s="6" t="s">
        <v>29</v>
      </c>
      <c r="C127" s="32">
        <v>39083</v>
      </c>
      <c r="D127" s="26">
        <v>43853</v>
      </c>
      <c r="E127" s="26">
        <v>43883</v>
      </c>
      <c r="F127" s="22"/>
      <c r="G127" s="22"/>
      <c r="H127" s="22"/>
      <c r="I127" s="22"/>
      <c r="J127" s="22">
        <f t="shared" si="12"/>
        <v>30</v>
      </c>
      <c r="K127" s="22">
        <f t="shared" si="13"/>
        <v>0</v>
      </c>
      <c r="L127" s="22">
        <f t="shared" si="14"/>
        <v>0</v>
      </c>
      <c r="M127" s="22">
        <f t="shared" si="15"/>
        <v>30</v>
      </c>
      <c r="N127" s="22"/>
    </row>
    <row r="128" spans="1:14" x14ac:dyDescent="0.25">
      <c r="A128" s="4">
        <v>75</v>
      </c>
      <c r="B128" s="6" t="s">
        <v>39</v>
      </c>
      <c r="C128" s="33">
        <v>40909</v>
      </c>
      <c r="D128" s="26">
        <v>43909</v>
      </c>
      <c r="E128" s="26">
        <v>44074</v>
      </c>
      <c r="F128" s="22"/>
      <c r="G128" s="22"/>
      <c r="H128" s="22"/>
      <c r="I128" s="22"/>
      <c r="J128" s="22">
        <f>E128-D128</f>
        <v>165</v>
      </c>
      <c r="K128" s="22">
        <f>G128-F128</f>
        <v>0</v>
      </c>
      <c r="L128" s="22">
        <f>I128-H128</f>
        <v>0</v>
      </c>
      <c r="M128" s="22">
        <f>J128+K128+L128</f>
        <v>165</v>
      </c>
      <c r="N128" s="22" t="s">
        <v>246</v>
      </c>
    </row>
    <row r="129" spans="1:14" x14ac:dyDescent="0.25">
      <c r="A129" s="4">
        <v>51</v>
      </c>
      <c r="B129" s="22" t="s">
        <v>259</v>
      </c>
      <c r="C129" s="52">
        <v>43374</v>
      </c>
      <c r="D129" s="22"/>
      <c r="E129" s="22"/>
      <c r="F129" s="22"/>
      <c r="G129" s="22"/>
      <c r="H129" s="22"/>
      <c r="I129" s="22"/>
      <c r="J129" s="22">
        <f>E129-D129</f>
        <v>0</v>
      </c>
      <c r="K129" s="22">
        <f>G129-F129</f>
        <v>0</v>
      </c>
      <c r="L129" s="22">
        <f>I129-H129</f>
        <v>0</v>
      </c>
      <c r="M129" s="22">
        <f>J129+K129+L129</f>
        <v>0</v>
      </c>
      <c r="N129" s="22"/>
    </row>
    <row r="130" spans="1:14" x14ac:dyDescent="0.25">
      <c r="A130" s="4">
        <v>84</v>
      </c>
      <c r="B130" s="56" t="s">
        <v>263</v>
      </c>
      <c r="C130" s="52">
        <v>43617</v>
      </c>
      <c r="D130" s="26">
        <v>44027</v>
      </c>
      <c r="E130" s="26">
        <v>44074</v>
      </c>
      <c r="F130" s="22"/>
      <c r="G130" s="22"/>
      <c r="H130" s="22"/>
      <c r="I130" s="22"/>
      <c r="J130" s="22">
        <f>E130-D130</f>
        <v>47</v>
      </c>
      <c r="K130" s="22">
        <f>G130-F130</f>
        <v>0</v>
      </c>
      <c r="L130" s="22">
        <f>I130-H130</f>
        <v>0</v>
      </c>
      <c r="M130" s="22">
        <f>J130+K130+L130</f>
        <v>47</v>
      </c>
      <c r="N130" s="22" t="s">
        <v>246</v>
      </c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4"/>
  <sheetViews>
    <sheetView topLeftCell="A74" workbookViewId="0">
      <selection activeCell="H89" sqref="H89"/>
    </sheetView>
  </sheetViews>
  <sheetFormatPr defaultRowHeight="15" x14ac:dyDescent="0.25"/>
  <cols>
    <col min="1" max="1" width="5.42578125" bestFit="1" customWidth="1"/>
    <col min="2" max="2" width="30.28515625" customWidth="1"/>
    <col min="3" max="3" width="12.28515625" bestFit="1" customWidth="1"/>
    <col min="4" max="4" width="12.140625" customWidth="1"/>
    <col min="5" max="5" width="11.42578125" customWidth="1"/>
    <col min="6" max="9" width="10.7109375" bestFit="1" customWidth="1"/>
    <col min="10" max="11" width="4" bestFit="1" customWidth="1"/>
    <col min="12" max="12" width="3" bestFit="1" customWidth="1"/>
    <col min="13" max="13" width="6.5703125" bestFit="1" customWidth="1"/>
    <col min="14" max="14" width="16.140625" bestFit="1" customWidth="1"/>
  </cols>
  <sheetData>
    <row r="1" spans="1:14" x14ac:dyDescent="0.25">
      <c r="A1" s="3" t="s">
        <v>130</v>
      </c>
      <c r="B1" s="9" t="s">
        <v>126</v>
      </c>
      <c r="C1" s="9" t="s">
        <v>131</v>
      </c>
      <c r="D1" s="150" t="s">
        <v>127</v>
      </c>
      <c r="E1" s="150"/>
      <c r="F1" s="150" t="s">
        <v>128</v>
      </c>
      <c r="G1" s="150"/>
      <c r="H1" s="150" t="s">
        <v>215</v>
      </c>
      <c r="I1" s="150"/>
      <c r="J1" s="22">
        <v>1</v>
      </c>
      <c r="K1" s="22">
        <v>2</v>
      </c>
      <c r="L1" s="22">
        <v>3</v>
      </c>
      <c r="M1" s="22" t="s">
        <v>72</v>
      </c>
      <c r="N1" s="51" t="s">
        <v>217</v>
      </c>
    </row>
    <row r="2" spans="1:14" x14ac:dyDescent="0.25">
      <c r="A2" s="4">
        <v>1</v>
      </c>
      <c r="B2" s="6" t="s">
        <v>1</v>
      </c>
      <c r="C2" s="32">
        <v>39295</v>
      </c>
      <c r="D2" s="26">
        <v>43482</v>
      </c>
      <c r="E2" s="26">
        <v>43486</v>
      </c>
      <c r="F2" s="26">
        <v>43652</v>
      </c>
      <c r="G2" s="26">
        <v>43654</v>
      </c>
      <c r="H2" s="26">
        <v>43680</v>
      </c>
      <c r="I2" s="26">
        <v>43700</v>
      </c>
      <c r="J2" s="22">
        <f t="shared" ref="J2:J9" si="0">E2-D2</f>
        <v>4</v>
      </c>
      <c r="K2" s="22">
        <f t="shared" ref="K2:K9" si="1">G2-F2</f>
        <v>2</v>
      </c>
      <c r="L2" s="22">
        <f t="shared" ref="L2:L9" si="2">I2-H2</f>
        <v>20</v>
      </c>
      <c r="M2" s="22">
        <f t="shared" ref="M2:M9" si="3">J2+K2+L2</f>
        <v>26</v>
      </c>
      <c r="N2" s="22"/>
    </row>
    <row r="3" spans="1:14" x14ac:dyDescent="0.25">
      <c r="A3" s="4">
        <v>2</v>
      </c>
      <c r="B3" s="6" t="s">
        <v>179</v>
      </c>
      <c r="C3" s="32">
        <v>41883</v>
      </c>
      <c r="D3" s="26">
        <v>43498</v>
      </c>
      <c r="E3" s="26">
        <v>43526</v>
      </c>
      <c r="F3" s="22"/>
      <c r="G3" s="22"/>
      <c r="H3" s="22"/>
      <c r="I3" s="22"/>
      <c r="J3" s="22">
        <f t="shared" si="0"/>
        <v>28</v>
      </c>
      <c r="K3" s="22">
        <f t="shared" si="1"/>
        <v>0</v>
      </c>
      <c r="L3" s="22">
        <f t="shared" si="2"/>
        <v>0</v>
      </c>
      <c r="M3" s="22">
        <f t="shared" si="3"/>
        <v>28</v>
      </c>
      <c r="N3" s="22"/>
    </row>
    <row r="4" spans="1:14" x14ac:dyDescent="0.25">
      <c r="A4" s="4">
        <v>3</v>
      </c>
      <c r="B4" s="6" t="s">
        <v>180</v>
      </c>
      <c r="C4" s="32">
        <v>41883</v>
      </c>
      <c r="D4" s="26">
        <v>43566</v>
      </c>
      <c r="E4" s="26">
        <v>43602</v>
      </c>
      <c r="F4" s="26">
        <v>43810</v>
      </c>
      <c r="G4" s="26">
        <v>43816</v>
      </c>
      <c r="H4" s="22"/>
      <c r="I4" s="22"/>
      <c r="J4" s="22">
        <f t="shared" si="0"/>
        <v>36</v>
      </c>
      <c r="K4" s="22">
        <f t="shared" si="1"/>
        <v>6</v>
      </c>
      <c r="L4" s="22">
        <f t="shared" si="2"/>
        <v>0</v>
      </c>
      <c r="M4" s="22">
        <f t="shared" si="3"/>
        <v>42</v>
      </c>
      <c r="N4" s="22"/>
    </row>
    <row r="5" spans="1:14" x14ac:dyDescent="0.25">
      <c r="A5" s="4">
        <v>4</v>
      </c>
      <c r="B5" s="6" t="s">
        <v>42</v>
      </c>
      <c r="C5" s="32">
        <v>42186</v>
      </c>
      <c r="D5" s="26">
        <v>43568</v>
      </c>
      <c r="E5" s="26">
        <v>43595</v>
      </c>
      <c r="F5" s="22"/>
      <c r="G5" s="22"/>
      <c r="H5" s="22"/>
      <c r="I5" s="22"/>
      <c r="J5" s="22">
        <f t="shared" si="0"/>
        <v>27</v>
      </c>
      <c r="K5" s="22">
        <f t="shared" si="1"/>
        <v>0</v>
      </c>
      <c r="L5" s="22">
        <f t="shared" si="2"/>
        <v>0</v>
      </c>
      <c r="M5" s="22">
        <f t="shared" si="3"/>
        <v>27</v>
      </c>
      <c r="N5" s="22"/>
    </row>
    <row r="6" spans="1:14" x14ac:dyDescent="0.25">
      <c r="A6" s="4">
        <v>5</v>
      </c>
      <c r="B6" s="6" t="s">
        <v>231</v>
      </c>
      <c r="C6" s="32">
        <v>42736</v>
      </c>
      <c r="D6" s="26">
        <v>43707</v>
      </c>
      <c r="E6" s="26">
        <v>43748</v>
      </c>
      <c r="F6" s="22"/>
      <c r="G6" s="22"/>
      <c r="H6" s="22"/>
      <c r="I6" s="22"/>
      <c r="J6" s="22">
        <f t="shared" si="0"/>
        <v>41</v>
      </c>
      <c r="K6" s="22">
        <f t="shared" si="1"/>
        <v>0</v>
      </c>
      <c r="L6" s="22">
        <f t="shared" si="2"/>
        <v>0</v>
      </c>
      <c r="M6" s="22">
        <f t="shared" si="3"/>
        <v>41</v>
      </c>
      <c r="N6" s="22"/>
    </row>
    <row r="7" spans="1:14" x14ac:dyDescent="0.25">
      <c r="A7" s="4">
        <v>6</v>
      </c>
      <c r="B7" s="6" t="s">
        <v>5</v>
      </c>
      <c r="C7" s="32">
        <v>40695</v>
      </c>
      <c r="D7" s="26"/>
      <c r="E7" s="26"/>
      <c r="F7" s="26"/>
      <c r="G7" s="26"/>
      <c r="H7" s="22"/>
      <c r="I7" s="22"/>
      <c r="J7" s="22">
        <f t="shared" si="0"/>
        <v>0</v>
      </c>
      <c r="K7" s="22">
        <f t="shared" si="1"/>
        <v>0</v>
      </c>
      <c r="L7" s="22">
        <f t="shared" si="2"/>
        <v>0</v>
      </c>
      <c r="M7" s="22">
        <f t="shared" si="3"/>
        <v>0</v>
      </c>
      <c r="N7" s="22"/>
    </row>
    <row r="8" spans="1:14" x14ac:dyDescent="0.25">
      <c r="A8" s="4">
        <v>7</v>
      </c>
      <c r="B8" s="6" t="s">
        <v>6</v>
      </c>
      <c r="C8" s="32">
        <v>39083</v>
      </c>
      <c r="D8" s="26">
        <v>43615</v>
      </c>
      <c r="E8" s="26">
        <v>43616</v>
      </c>
      <c r="F8" s="26">
        <v>43694</v>
      </c>
      <c r="G8" s="26">
        <v>43697</v>
      </c>
      <c r="H8" s="26"/>
      <c r="I8" s="26"/>
      <c r="J8" s="22">
        <f t="shared" si="0"/>
        <v>1</v>
      </c>
      <c r="K8" s="22">
        <f t="shared" si="1"/>
        <v>3</v>
      </c>
      <c r="L8" s="22">
        <f t="shared" si="2"/>
        <v>0</v>
      </c>
      <c r="M8" s="22">
        <f t="shared" si="3"/>
        <v>4</v>
      </c>
      <c r="N8" s="22"/>
    </row>
    <row r="9" spans="1:14" x14ac:dyDescent="0.25">
      <c r="A9" s="4">
        <v>8</v>
      </c>
      <c r="B9" s="6" t="s">
        <v>9</v>
      </c>
      <c r="C9" s="32">
        <v>39083</v>
      </c>
      <c r="D9" s="26">
        <v>43586</v>
      </c>
      <c r="E9" s="26">
        <v>43647</v>
      </c>
      <c r="F9" s="22"/>
      <c r="G9" s="22"/>
      <c r="H9" s="22"/>
      <c r="I9" s="22"/>
      <c r="J9" s="22">
        <f t="shared" si="0"/>
        <v>61</v>
      </c>
      <c r="K9" s="22">
        <f t="shared" si="1"/>
        <v>0</v>
      </c>
      <c r="L9" s="22">
        <f t="shared" si="2"/>
        <v>0</v>
      </c>
      <c r="M9" s="22">
        <f t="shared" si="3"/>
        <v>61</v>
      </c>
      <c r="N9" s="22"/>
    </row>
    <row r="10" spans="1:14" x14ac:dyDescent="0.25">
      <c r="A10" s="4">
        <v>9</v>
      </c>
      <c r="B10" s="6" t="s">
        <v>10</v>
      </c>
      <c r="C10" s="32">
        <v>39083</v>
      </c>
      <c r="D10" s="26">
        <v>43547</v>
      </c>
      <c r="E10" s="26">
        <v>43551</v>
      </c>
      <c r="F10" s="26">
        <v>43586</v>
      </c>
      <c r="G10" s="26">
        <v>43589</v>
      </c>
      <c r="H10" s="26">
        <v>43768</v>
      </c>
      <c r="I10" s="26">
        <v>43774</v>
      </c>
      <c r="J10" s="22">
        <f t="shared" ref="J10:J69" si="4">E10-D10</f>
        <v>4</v>
      </c>
      <c r="K10" s="22">
        <f t="shared" ref="K10:K69" si="5">G10-F10</f>
        <v>3</v>
      </c>
      <c r="L10" s="22">
        <f t="shared" ref="L10:L69" si="6">I10-H10</f>
        <v>6</v>
      </c>
      <c r="M10" s="22">
        <f t="shared" ref="M10:M69" si="7">J10+K10+L10</f>
        <v>13</v>
      </c>
      <c r="N10" s="22"/>
    </row>
    <row r="11" spans="1:14" x14ac:dyDescent="0.25">
      <c r="A11" s="4">
        <v>10</v>
      </c>
      <c r="B11" s="6" t="s">
        <v>11</v>
      </c>
      <c r="C11" s="32">
        <v>39083</v>
      </c>
      <c r="D11" s="26"/>
      <c r="E11" s="26"/>
      <c r="F11" s="26"/>
      <c r="G11" s="26"/>
      <c r="H11" s="22"/>
      <c r="I11" s="22"/>
      <c r="J11" s="22">
        <f t="shared" si="4"/>
        <v>0</v>
      </c>
      <c r="K11" s="22">
        <f t="shared" si="5"/>
        <v>0</v>
      </c>
      <c r="L11" s="22">
        <f t="shared" si="6"/>
        <v>0</v>
      </c>
      <c r="M11" s="22">
        <f t="shared" si="7"/>
        <v>0</v>
      </c>
      <c r="N11" s="22"/>
    </row>
    <row r="12" spans="1:14" x14ac:dyDescent="0.25">
      <c r="A12" s="4">
        <v>11</v>
      </c>
      <c r="B12" s="6" t="s">
        <v>12</v>
      </c>
      <c r="C12" s="32">
        <v>39142</v>
      </c>
      <c r="D12" s="26">
        <v>43812</v>
      </c>
      <c r="E12" s="26">
        <v>43830</v>
      </c>
      <c r="F12" s="22"/>
      <c r="G12" s="22"/>
      <c r="H12" s="22"/>
      <c r="I12" s="22"/>
      <c r="J12" s="22">
        <f t="shared" si="4"/>
        <v>18</v>
      </c>
      <c r="K12" s="22">
        <f t="shared" si="5"/>
        <v>0</v>
      </c>
      <c r="L12" s="22">
        <f t="shared" si="6"/>
        <v>0</v>
      </c>
      <c r="M12" s="22">
        <f t="shared" si="7"/>
        <v>18</v>
      </c>
      <c r="N12" s="22"/>
    </row>
    <row r="13" spans="1:14" x14ac:dyDescent="0.25">
      <c r="A13" s="4">
        <v>12</v>
      </c>
      <c r="B13" s="6" t="s">
        <v>192</v>
      </c>
      <c r="C13" s="32">
        <v>42036</v>
      </c>
      <c r="D13" s="26">
        <v>43466</v>
      </c>
      <c r="E13" s="26">
        <v>43471</v>
      </c>
      <c r="F13" s="26">
        <v>43690</v>
      </c>
      <c r="G13" s="26">
        <v>43696</v>
      </c>
      <c r="H13" s="26">
        <v>43819</v>
      </c>
      <c r="I13" s="26">
        <v>43830</v>
      </c>
      <c r="J13" s="22">
        <f t="shared" si="4"/>
        <v>5</v>
      </c>
      <c r="K13" s="22">
        <f t="shared" si="5"/>
        <v>6</v>
      </c>
      <c r="L13" s="22">
        <f t="shared" si="6"/>
        <v>11</v>
      </c>
      <c r="M13" s="22">
        <f t="shared" si="7"/>
        <v>22</v>
      </c>
      <c r="N13" s="22"/>
    </row>
    <row r="14" spans="1:14" x14ac:dyDescent="0.25">
      <c r="A14" s="4">
        <v>13</v>
      </c>
      <c r="B14" s="6" t="s">
        <v>256</v>
      </c>
      <c r="C14" s="32">
        <v>43252</v>
      </c>
      <c r="D14" s="26">
        <v>43762</v>
      </c>
      <c r="E14" s="26">
        <v>43771</v>
      </c>
      <c r="F14" s="26">
        <v>43783</v>
      </c>
      <c r="G14" s="26">
        <v>43791</v>
      </c>
      <c r="H14" s="22"/>
      <c r="I14" s="22"/>
      <c r="J14" s="22">
        <f t="shared" si="4"/>
        <v>9</v>
      </c>
      <c r="K14" s="22">
        <f t="shared" si="5"/>
        <v>8</v>
      </c>
      <c r="L14" s="22">
        <f t="shared" si="6"/>
        <v>0</v>
      </c>
      <c r="M14" s="22">
        <f t="shared" si="7"/>
        <v>17</v>
      </c>
      <c r="N14" s="22"/>
    </row>
    <row r="15" spans="1:14" x14ac:dyDescent="0.25">
      <c r="A15" s="4">
        <v>14</v>
      </c>
      <c r="B15" s="6" t="s">
        <v>13</v>
      </c>
      <c r="C15" s="32">
        <v>39083</v>
      </c>
      <c r="D15" s="26"/>
      <c r="E15" s="26"/>
      <c r="F15" s="22"/>
      <c r="G15" s="22"/>
      <c r="H15" s="22"/>
      <c r="I15" s="22"/>
      <c r="J15" s="22">
        <f t="shared" si="4"/>
        <v>0</v>
      </c>
      <c r="K15" s="22">
        <f t="shared" si="5"/>
        <v>0</v>
      </c>
      <c r="L15" s="22">
        <f t="shared" si="6"/>
        <v>0</v>
      </c>
      <c r="M15" s="22">
        <f t="shared" si="7"/>
        <v>0</v>
      </c>
      <c r="N15" s="22"/>
    </row>
    <row r="16" spans="1:14" x14ac:dyDescent="0.25">
      <c r="A16" s="4">
        <v>15</v>
      </c>
      <c r="B16" s="6" t="s">
        <v>145</v>
      </c>
      <c r="C16" s="45">
        <v>41334</v>
      </c>
      <c r="D16" s="26"/>
      <c r="E16" s="26"/>
      <c r="F16" s="22"/>
      <c r="G16" s="22"/>
      <c r="H16" s="22"/>
      <c r="I16" s="22"/>
      <c r="J16" s="22">
        <f t="shared" si="4"/>
        <v>0</v>
      </c>
      <c r="K16" s="22">
        <f t="shared" si="5"/>
        <v>0</v>
      </c>
      <c r="L16" s="22">
        <f t="shared" si="6"/>
        <v>0</v>
      </c>
      <c r="M16" s="22">
        <f t="shared" si="7"/>
        <v>0</v>
      </c>
      <c r="N16" s="22"/>
    </row>
    <row r="17" spans="1:14" x14ac:dyDescent="0.25">
      <c r="A17" s="4">
        <v>16</v>
      </c>
      <c r="B17" s="6" t="s">
        <v>16</v>
      </c>
      <c r="C17" s="32">
        <v>40210</v>
      </c>
      <c r="D17" s="26">
        <v>43470</v>
      </c>
      <c r="E17" s="26">
        <v>43505</v>
      </c>
      <c r="F17" s="26">
        <v>43726</v>
      </c>
      <c r="G17" s="26">
        <v>43731</v>
      </c>
      <c r="H17" s="22"/>
      <c r="I17" s="22"/>
      <c r="J17" s="22">
        <f t="shared" si="4"/>
        <v>35</v>
      </c>
      <c r="K17" s="22">
        <f t="shared" si="5"/>
        <v>5</v>
      </c>
      <c r="L17" s="22">
        <f t="shared" si="6"/>
        <v>0</v>
      </c>
      <c r="M17" s="22">
        <f t="shared" si="7"/>
        <v>40</v>
      </c>
      <c r="N17" s="22"/>
    </row>
    <row r="18" spans="1:14" x14ac:dyDescent="0.25">
      <c r="A18" s="4">
        <v>17</v>
      </c>
      <c r="B18" s="6" t="s">
        <v>21</v>
      </c>
      <c r="C18" s="34">
        <v>40483</v>
      </c>
      <c r="D18" s="26">
        <v>43659</v>
      </c>
      <c r="E18" s="26">
        <v>43708</v>
      </c>
      <c r="F18" s="26"/>
      <c r="G18" s="26"/>
      <c r="H18" s="22"/>
      <c r="I18" s="22"/>
      <c r="J18" s="22">
        <f t="shared" si="4"/>
        <v>49</v>
      </c>
      <c r="K18" s="22">
        <f t="shared" si="5"/>
        <v>0</v>
      </c>
      <c r="L18" s="22">
        <f t="shared" si="6"/>
        <v>0</v>
      </c>
      <c r="M18" s="22">
        <f t="shared" si="7"/>
        <v>49</v>
      </c>
      <c r="N18" s="22"/>
    </row>
    <row r="19" spans="1:14" x14ac:dyDescent="0.25">
      <c r="A19" s="4">
        <v>18</v>
      </c>
      <c r="B19" s="6" t="s">
        <v>268</v>
      </c>
      <c r="C19" s="34">
        <v>43647</v>
      </c>
      <c r="D19" s="26"/>
      <c r="E19" s="26"/>
      <c r="F19" s="26"/>
      <c r="G19" s="26"/>
      <c r="H19" s="22"/>
      <c r="I19" s="22"/>
      <c r="J19" s="22">
        <f t="shared" si="4"/>
        <v>0</v>
      </c>
      <c r="K19" s="22">
        <f t="shared" si="5"/>
        <v>0</v>
      </c>
      <c r="L19" s="22">
        <f t="shared" si="6"/>
        <v>0</v>
      </c>
      <c r="M19" s="22">
        <f t="shared" si="7"/>
        <v>0</v>
      </c>
      <c r="N19" s="22"/>
    </row>
    <row r="20" spans="1:14" x14ac:dyDescent="0.25">
      <c r="A20" s="4">
        <v>19</v>
      </c>
      <c r="B20" s="6" t="s">
        <v>26</v>
      </c>
      <c r="C20" s="52">
        <v>41000</v>
      </c>
      <c r="D20" s="26">
        <v>43472</v>
      </c>
      <c r="E20" s="26">
        <v>43535</v>
      </c>
      <c r="F20" s="22"/>
      <c r="G20" s="22"/>
      <c r="H20" s="22"/>
      <c r="I20" s="22"/>
      <c r="J20" s="22">
        <f t="shared" si="4"/>
        <v>63</v>
      </c>
      <c r="K20" s="22">
        <f t="shared" si="5"/>
        <v>0</v>
      </c>
      <c r="L20" s="22">
        <f t="shared" si="6"/>
        <v>0</v>
      </c>
      <c r="M20" s="22">
        <f t="shared" si="7"/>
        <v>63</v>
      </c>
      <c r="N20" s="22"/>
    </row>
    <row r="21" spans="1:14" x14ac:dyDescent="0.25">
      <c r="A21" s="4">
        <v>20</v>
      </c>
      <c r="B21" s="6" t="s">
        <v>136</v>
      </c>
      <c r="C21" s="52">
        <v>41214</v>
      </c>
      <c r="D21" s="26"/>
      <c r="E21" s="26"/>
      <c r="F21" s="26"/>
      <c r="G21" s="26"/>
      <c r="H21" s="22"/>
      <c r="I21" s="22"/>
      <c r="J21" s="22">
        <f t="shared" si="4"/>
        <v>0</v>
      </c>
      <c r="K21" s="22">
        <f t="shared" si="5"/>
        <v>0</v>
      </c>
      <c r="L21" s="22">
        <f t="shared" si="6"/>
        <v>0</v>
      </c>
      <c r="M21" s="22">
        <f t="shared" si="7"/>
        <v>0</v>
      </c>
      <c r="N21" s="22"/>
    </row>
    <row r="22" spans="1:14" x14ac:dyDescent="0.25">
      <c r="A22" s="4">
        <v>21</v>
      </c>
      <c r="B22" s="6" t="s">
        <v>137</v>
      </c>
      <c r="C22" s="52">
        <v>41244</v>
      </c>
      <c r="D22" s="26">
        <v>43587</v>
      </c>
      <c r="E22" s="26">
        <v>43673</v>
      </c>
      <c r="F22" s="22"/>
      <c r="G22" s="22"/>
      <c r="H22" s="22"/>
      <c r="I22" s="22"/>
      <c r="J22" s="22">
        <f t="shared" si="4"/>
        <v>86</v>
      </c>
      <c r="K22" s="22">
        <f t="shared" si="5"/>
        <v>0</v>
      </c>
      <c r="L22" s="22">
        <f t="shared" si="6"/>
        <v>0</v>
      </c>
      <c r="M22" s="22">
        <f t="shared" si="7"/>
        <v>86</v>
      </c>
      <c r="N22" s="22"/>
    </row>
    <row r="23" spans="1:14" x14ac:dyDescent="0.25">
      <c r="A23" s="4">
        <v>22</v>
      </c>
      <c r="B23" s="6" t="s">
        <v>161</v>
      </c>
      <c r="C23" s="52">
        <v>41487</v>
      </c>
      <c r="D23" s="26">
        <v>43765</v>
      </c>
      <c r="E23" s="26">
        <v>43824</v>
      </c>
      <c r="F23" s="22"/>
      <c r="G23" s="22"/>
      <c r="H23" s="22"/>
      <c r="I23" s="22"/>
      <c r="J23" s="22">
        <f t="shared" si="4"/>
        <v>59</v>
      </c>
      <c r="K23" s="22">
        <f t="shared" si="5"/>
        <v>0</v>
      </c>
      <c r="L23" s="22">
        <f t="shared" si="6"/>
        <v>0</v>
      </c>
      <c r="M23" s="22">
        <f t="shared" si="7"/>
        <v>59</v>
      </c>
      <c r="N23" s="22"/>
    </row>
    <row r="24" spans="1:14" x14ac:dyDescent="0.25">
      <c r="A24" s="4">
        <v>23</v>
      </c>
      <c r="B24" s="6" t="s">
        <v>163</v>
      </c>
      <c r="C24" s="52">
        <v>41518</v>
      </c>
      <c r="D24" s="26"/>
      <c r="E24" s="26"/>
      <c r="F24" s="22"/>
      <c r="G24" s="22"/>
      <c r="H24" s="22"/>
      <c r="I24" s="22"/>
      <c r="J24" s="22">
        <f t="shared" si="4"/>
        <v>0</v>
      </c>
      <c r="K24" s="22">
        <f t="shared" si="5"/>
        <v>0</v>
      </c>
      <c r="L24" s="22">
        <f t="shared" si="6"/>
        <v>0</v>
      </c>
      <c r="M24" s="22">
        <f t="shared" si="7"/>
        <v>0</v>
      </c>
      <c r="N24" s="22"/>
    </row>
    <row r="25" spans="1:14" x14ac:dyDescent="0.25">
      <c r="A25" s="4">
        <v>24</v>
      </c>
      <c r="B25" s="6" t="s">
        <v>164</v>
      </c>
      <c r="C25" s="52">
        <v>41548</v>
      </c>
      <c r="D25" s="26">
        <v>43762</v>
      </c>
      <c r="E25" s="26">
        <v>43830</v>
      </c>
      <c r="F25" s="22"/>
      <c r="G25" s="22"/>
      <c r="H25" s="22"/>
      <c r="I25" s="22"/>
      <c r="J25" s="22">
        <f t="shared" si="4"/>
        <v>68</v>
      </c>
      <c r="K25" s="22">
        <f t="shared" si="5"/>
        <v>0</v>
      </c>
      <c r="L25" s="22">
        <f t="shared" si="6"/>
        <v>0</v>
      </c>
      <c r="M25" s="22">
        <f t="shared" si="7"/>
        <v>68</v>
      </c>
      <c r="N25" s="22"/>
    </row>
    <row r="26" spans="1:14" x14ac:dyDescent="0.25">
      <c r="A26" s="4">
        <v>25</v>
      </c>
      <c r="B26" s="6" t="s">
        <v>167</v>
      </c>
      <c r="C26" s="52">
        <v>41579</v>
      </c>
      <c r="D26" s="26">
        <v>43617</v>
      </c>
      <c r="E26" s="26">
        <v>43642</v>
      </c>
      <c r="F26" s="22"/>
      <c r="G26" s="22"/>
      <c r="H26" s="22"/>
      <c r="I26" s="22"/>
      <c r="J26" s="22">
        <f t="shared" si="4"/>
        <v>25</v>
      </c>
      <c r="K26" s="22">
        <f t="shared" si="5"/>
        <v>0</v>
      </c>
      <c r="L26" s="22">
        <f t="shared" si="6"/>
        <v>0</v>
      </c>
      <c r="M26" s="22">
        <f t="shared" si="7"/>
        <v>25</v>
      </c>
      <c r="N26" s="22" t="s">
        <v>277</v>
      </c>
    </row>
    <row r="27" spans="1:14" x14ac:dyDescent="0.25">
      <c r="A27" s="4">
        <v>26</v>
      </c>
      <c r="B27" s="6" t="s">
        <v>166</v>
      </c>
      <c r="C27" s="53">
        <v>41609</v>
      </c>
      <c r="D27" s="26">
        <v>43475</v>
      </c>
      <c r="E27" s="26">
        <v>43541</v>
      </c>
      <c r="F27" s="26">
        <v>43660</v>
      </c>
      <c r="G27" s="26">
        <v>43665</v>
      </c>
      <c r="H27" s="22"/>
      <c r="I27" s="22"/>
      <c r="J27" s="22">
        <f t="shared" si="4"/>
        <v>66</v>
      </c>
      <c r="K27" s="22">
        <f t="shared" si="5"/>
        <v>5</v>
      </c>
      <c r="L27" s="22">
        <f t="shared" si="6"/>
        <v>0</v>
      </c>
      <c r="M27" s="22">
        <f t="shared" si="7"/>
        <v>71</v>
      </c>
      <c r="N27" s="22" t="s">
        <v>277</v>
      </c>
    </row>
    <row r="28" spans="1:14" x14ac:dyDescent="0.25">
      <c r="A28" s="4">
        <v>27</v>
      </c>
      <c r="B28" s="6" t="s">
        <v>170</v>
      </c>
      <c r="C28" s="52">
        <v>41671</v>
      </c>
      <c r="D28" s="26"/>
      <c r="E28" s="26"/>
      <c r="F28" s="22"/>
      <c r="G28" s="22"/>
      <c r="H28" s="22"/>
      <c r="I28" s="22"/>
      <c r="J28" s="22">
        <f t="shared" si="4"/>
        <v>0</v>
      </c>
      <c r="K28" s="22">
        <f t="shared" si="5"/>
        <v>0</v>
      </c>
      <c r="L28" s="22">
        <f t="shared" si="6"/>
        <v>0</v>
      </c>
      <c r="M28" s="22">
        <f t="shared" si="7"/>
        <v>0</v>
      </c>
      <c r="N28" s="22"/>
    </row>
    <row r="29" spans="1:14" x14ac:dyDescent="0.25">
      <c r="A29" s="4">
        <v>28</v>
      </c>
      <c r="B29" s="6" t="s">
        <v>182</v>
      </c>
      <c r="C29" s="52">
        <v>41883</v>
      </c>
      <c r="D29" s="26">
        <v>43824</v>
      </c>
      <c r="E29" s="26">
        <v>43830</v>
      </c>
      <c r="F29" s="26"/>
      <c r="G29" s="26"/>
      <c r="H29" s="22"/>
      <c r="I29" s="22"/>
      <c r="J29" s="22">
        <f t="shared" si="4"/>
        <v>6</v>
      </c>
      <c r="K29" s="22">
        <f t="shared" si="5"/>
        <v>0</v>
      </c>
      <c r="L29" s="22">
        <f t="shared" si="6"/>
        <v>0</v>
      </c>
      <c r="M29" s="22">
        <f t="shared" si="7"/>
        <v>6</v>
      </c>
      <c r="N29" s="22"/>
    </row>
    <row r="30" spans="1:14" x14ac:dyDescent="0.25">
      <c r="A30" s="4">
        <v>29</v>
      </c>
      <c r="B30" s="6" t="s">
        <v>183</v>
      </c>
      <c r="C30" s="52">
        <v>41913</v>
      </c>
      <c r="D30" s="26">
        <v>43584</v>
      </c>
      <c r="E30" s="26">
        <v>43662</v>
      </c>
      <c r="F30" s="22"/>
      <c r="G30" s="22"/>
      <c r="H30" s="22"/>
      <c r="I30" s="22"/>
      <c r="J30" s="22">
        <f t="shared" si="4"/>
        <v>78</v>
      </c>
      <c r="K30" s="22">
        <f t="shared" si="5"/>
        <v>0</v>
      </c>
      <c r="L30" s="22">
        <f t="shared" si="6"/>
        <v>0</v>
      </c>
      <c r="M30" s="22">
        <f t="shared" si="7"/>
        <v>78</v>
      </c>
      <c r="N30" s="22"/>
    </row>
    <row r="31" spans="1:14" x14ac:dyDescent="0.25">
      <c r="A31" s="4">
        <v>30</v>
      </c>
      <c r="B31" s="6" t="s">
        <v>196</v>
      </c>
      <c r="C31" s="44">
        <v>42005</v>
      </c>
      <c r="D31" s="26">
        <v>43486</v>
      </c>
      <c r="E31" s="26">
        <v>43526</v>
      </c>
      <c r="F31" s="26"/>
      <c r="G31" s="26"/>
      <c r="H31" s="22"/>
      <c r="I31" s="22"/>
      <c r="J31" s="22">
        <f t="shared" si="4"/>
        <v>40</v>
      </c>
      <c r="K31" s="22">
        <f t="shared" si="5"/>
        <v>0</v>
      </c>
      <c r="L31" s="22">
        <f t="shared" si="6"/>
        <v>0</v>
      </c>
      <c r="M31" s="22">
        <f t="shared" si="7"/>
        <v>40</v>
      </c>
      <c r="N31" s="22"/>
    </row>
    <row r="32" spans="1:14" x14ac:dyDescent="0.25">
      <c r="A32" s="4">
        <v>31</v>
      </c>
      <c r="B32" s="6" t="s">
        <v>197</v>
      </c>
      <c r="C32" s="44">
        <v>42064</v>
      </c>
      <c r="D32" s="26">
        <v>43675</v>
      </c>
      <c r="E32" s="26">
        <v>43754</v>
      </c>
      <c r="F32" s="22"/>
      <c r="G32" s="22"/>
      <c r="H32" s="22"/>
      <c r="I32" s="22"/>
      <c r="J32" s="22">
        <f t="shared" si="4"/>
        <v>79</v>
      </c>
      <c r="K32" s="22">
        <f t="shared" si="5"/>
        <v>0</v>
      </c>
      <c r="L32" s="22">
        <f t="shared" si="6"/>
        <v>0</v>
      </c>
      <c r="M32" s="22">
        <f t="shared" si="7"/>
        <v>79</v>
      </c>
      <c r="N32" s="22"/>
    </row>
    <row r="33" spans="1:14" x14ac:dyDescent="0.25">
      <c r="A33" s="4">
        <v>32</v>
      </c>
      <c r="B33" s="6" t="s">
        <v>199</v>
      </c>
      <c r="C33" s="44">
        <v>42156</v>
      </c>
      <c r="D33" s="26"/>
      <c r="E33" s="26"/>
      <c r="F33" s="26"/>
      <c r="G33" s="26"/>
      <c r="H33" s="22"/>
      <c r="I33" s="22"/>
      <c r="J33" s="22">
        <f t="shared" si="4"/>
        <v>0</v>
      </c>
      <c r="K33" s="22">
        <f t="shared" si="5"/>
        <v>0</v>
      </c>
      <c r="L33" s="22">
        <f t="shared" si="6"/>
        <v>0</v>
      </c>
      <c r="M33" s="22">
        <f t="shared" si="7"/>
        <v>0</v>
      </c>
      <c r="N33" s="22"/>
    </row>
    <row r="34" spans="1:14" x14ac:dyDescent="0.25">
      <c r="A34" s="4">
        <v>33</v>
      </c>
      <c r="B34" s="6" t="s">
        <v>200</v>
      </c>
      <c r="C34" s="44">
        <v>42248</v>
      </c>
      <c r="D34" s="22"/>
      <c r="E34" s="22"/>
      <c r="F34" s="22"/>
      <c r="G34" s="22"/>
      <c r="H34" s="22"/>
      <c r="I34" s="22"/>
      <c r="J34" s="22">
        <f t="shared" si="4"/>
        <v>0</v>
      </c>
      <c r="K34" s="22">
        <f t="shared" si="5"/>
        <v>0</v>
      </c>
      <c r="L34" s="22">
        <f t="shared" si="6"/>
        <v>0</v>
      </c>
      <c r="M34" s="22">
        <f t="shared" si="7"/>
        <v>0</v>
      </c>
      <c r="N34" s="22"/>
    </row>
    <row r="35" spans="1:14" x14ac:dyDescent="0.25">
      <c r="A35" s="4">
        <v>34</v>
      </c>
      <c r="B35" s="6" t="s">
        <v>206</v>
      </c>
      <c r="C35" s="44">
        <v>42324</v>
      </c>
      <c r="D35" s="26">
        <v>43499</v>
      </c>
      <c r="E35" s="26">
        <v>43530</v>
      </c>
      <c r="F35" s="22"/>
      <c r="G35" s="22"/>
      <c r="H35" s="22"/>
      <c r="I35" s="22"/>
      <c r="J35" s="22">
        <f t="shared" si="4"/>
        <v>31</v>
      </c>
      <c r="K35" s="22">
        <f t="shared" si="5"/>
        <v>0</v>
      </c>
      <c r="L35" s="22">
        <f t="shared" si="6"/>
        <v>0</v>
      </c>
      <c r="M35" s="22">
        <f t="shared" si="7"/>
        <v>31</v>
      </c>
      <c r="N35" s="22"/>
    </row>
    <row r="36" spans="1:14" x14ac:dyDescent="0.25">
      <c r="A36" s="4">
        <v>35</v>
      </c>
      <c r="B36" s="6" t="s">
        <v>172</v>
      </c>
      <c r="C36" s="52">
        <v>41760</v>
      </c>
      <c r="D36" s="26">
        <v>43677</v>
      </c>
      <c r="E36" s="26">
        <v>43739</v>
      </c>
      <c r="F36" s="22"/>
      <c r="G36" s="22"/>
      <c r="H36" s="22"/>
      <c r="I36" s="22"/>
      <c r="J36" s="22">
        <f t="shared" si="4"/>
        <v>62</v>
      </c>
      <c r="K36" s="22">
        <f t="shared" si="5"/>
        <v>0</v>
      </c>
      <c r="L36" s="22">
        <f t="shared" si="6"/>
        <v>0</v>
      </c>
      <c r="M36" s="22">
        <f t="shared" si="7"/>
        <v>62</v>
      </c>
      <c r="N36" s="22"/>
    </row>
    <row r="37" spans="1:14" x14ac:dyDescent="0.25">
      <c r="A37" s="4">
        <v>36</v>
      </c>
      <c r="B37" s="6" t="s">
        <v>174</v>
      </c>
      <c r="C37" s="52">
        <v>41760</v>
      </c>
      <c r="D37" s="26">
        <v>43737</v>
      </c>
      <c r="E37" s="26">
        <v>43800</v>
      </c>
      <c r="F37" s="22"/>
      <c r="G37" s="22"/>
      <c r="H37" s="22"/>
      <c r="I37" s="22"/>
      <c r="J37" s="22">
        <f t="shared" si="4"/>
        <v>63</v>
      </c>
      <c r="K37" s="22">
        <f t="shared" si="5"/>
        <v>0</v>
      </c>
      <c r="L37" s="22">
        <f t="shared" si="6"/>
        <v>0</v>
      </c>
      <c r="M37" s="22">
        <f t="shared" si="7"/>
        <v>63</v>
      </c>
      <c r="N37" s="22"/>
    </row>
    <row r="38" spans="1:14" x14ac:dyDescent="0.25">
      <c r="A38" s="4">
        <v>37</v>
      </c>
      <c r="B38" s="6" t="s">
        <v>42</v>
      </c>
      <c r="C38" s="52">
        <v>40878</v>
      </c>
      <c r="D38" s="26">
        <v>43557</v>
      </c>
      <c r="E38" s="26">
        <v>43588</v>
      </c>
      <c r="F38" s="22"/>
      <c r="G38" s="22"/>
      <c r="H38" s="22"/>
      <c r="I38" s="22"/>
      <c r="J38" s="22">
        <f t="shared" si="4"/>
        <v>31</v>
      </c>
      <c r="K38" s="22">
        <f t="shared" si="5"/>
        <v>0</v>
      </c>
      <c r="L38" s="22">
        <f t="shared" si="6"/>
        <v>0</v>
      </c>
      <c r="M38" s="22">
        <f t="shared" si="7"/>
        <v>31</v>
      </c>
      <c r="N38" s="22"/>
    </row>
    <row r="39" spans="1:14" x14ac:dyDescent="0.25">
      <c r="A39" s="4">
        <v>38</v>
      </c>
      <c r="B39" s="6" t="s">
        <v>221</v>
      </c>
      <c r="C39" s="52">
        <v>42430</v>
      </c>
      <c r="D39" s="26"/>
      <c r="E39" s="26"/>
      <c r="F39" s="22"/>
      <c r="G39" s="22"/>
      <c r="H39" s="22"/>
      <c r="I39" s="22"/>
      <c r="J39" s="22">
        <f t="shared" si="4"/>
        <v>0</v>
      </c>
      <c r="K39" s="22">
        <f t="shared" si="5"/>
        <v>0</v>
      </c>
      <c r="L39" s="22">
        <f t="shared" si="6"/>
        <v>0</v>
      </c>
      <c r="M39" s="22">
        <f t="shared" si="7"/>
        <v>0</v>
      </c>
      <c r="N39" s="22"/>
    </row>
    <row r="40" spans="1:14" x14ac:dyDescent="0.25">
      <c r="A40" s="4">
        <v>39</v>
      </c>
      <c r="B40" s="6" t="s">
        <v>222</v>
      </c>
      <c r="C40" s="52">
        <v>42522</v>
      </c>
      <c r="D40" s="26">
        <v>43559</v>
      </c>
      <c r="E40" s="26">
        <v>43622</v>
      </c>
      <c r="F40" s="22"/>
      <c r="G40" s="22"/>
      <c r="H40" s="22"/>
      <c r="I40" s="22"/>
      <c r="J40" s="22">
        <f t="shared" si="4"/>
        <v>63</v>
      </c>
      <c r="K40" s="22">
        <f t="shared" si="5"/>
        <v>0</v>
      </c>
      <c r="L40" s="22">
        <f t="shared" si="6"/>
        <v>0</v>
      </c>
      <c r="M40" s="22">
        <f t="shared" si="7"/>
        <v>63</v>
      </c>
      <c r="N40" s="22"/>
    </row>
    <row r="41" spans="1:14" x14ac:dyDescent="0.25">
      <c r="A41" s="4">
        <v>40</v>
      </c>
      <c r="B41" s="6" t="s">
        <v>238</v>
      </c>
      <c r="C41" s="52">
        <v>42614</v>
      </c>
      <c r="D41" s="26">
        <v>43768</v>
      </c>
      <c r="E41" s="26">
        <v>43830</v>
      </c>
      <c r="F41" s="22"/>
      <c r="G41" s="22"/>
      <c r="H41" s="22"/>
      <c r="I41" s="22"/>
      <c r="J41" s="22">
        <f t="shared" si="4"/>
        <v>62</v>
      </c>
      <c r="K41" s="22">
        <f t="shared" si="5"/>
        <v>0</v>
      </c>
      <c r="L41" s="22">
        <f t="shared" si="6"/>
        <v>0</v>
      </c>
      <c r="M41" s="22">
        <f t="shared" si="7"/>
        <v>62</v>
      </c>
      <c r="N41" s="22"/>
    </row>
    <row r="42" spans="1:14" x14ac:dyDescent="0.25">
      <c r="A42" s="4">
        <v>41</v>
      </c>
      <c r="B42" s="6" t="s">
        <v>227</v>
      </c>
      <c r="C42" s="52">
        <v>42644</v>
      </c>
      <c r="D42" s="26">
        <v>43466</v>
      </c>
      <c r="E42" s="26">
        <v>43507</v>
      </c>
      <c r="F42" s="22"/>
      <c r="G42" s="22"/>
      <c r="H42" s="22"/>
      <c r="I42" s="22"/>
      <c r="J42" s="22">
        <f t="shared" si="4"/>
        <v>41</v>
      </c>
      <c r="K42" s="22">
        <f t="shared" si="5"/>
        <v>0</v>
      </c>
      <c r="L42" s="22">
        <f t="shared" si="6"/>
        <v>0</v>
      </c>
      <c r="M42" s="22">
        <f t="shared" si="7"/>
        <v>41</v>
      </c>
      <c r="N42" s="22"/>
    </row>
    <row r="43" spans="1:14" x14ac:dyDescent="0.25">
      <c r="A43" s="4">
        <v>42</v>
      </c>
      <c r="B43" s="6" t="s">
        <v>229</v>
      </c>
      <c r="C43" s="52">
        <v>42675</v>
      </c>
      <c r="D43" s="26">
        <v>43466</v>
      </c>
      <c r="E43" s="26">
        <v>43516</v>
      </c>
      <c r="F43" s="22"/>
      <c r="G43" s="22"/>
      <c r="H43" s="22"/>
      <c r="I43" s="22"/>
      <c r="J43" s="22">
        <f t="shared" si="4"/>
        <v>50</v>
      </c>
      <c r="K43" s="22">
        <f t="shared" si="5"/>
        <v>0</v>
      </c>
      <c r="L43" s="22">
        <f t="shared" si="6"/>
        <v>0</v>
      </c>
      <c r="M43" s="22">
        <f t="shared" si="7"/>
        <v>50</v>
      </c>
      <c r="N43" s="22"/>
    </row>
    <row r="44" spans="1:14" x14ac:dyDescent="0.25">
      <c r="A44" s="4">
        <v>43</v>
      </c>
      <c r="B44" s="6" t="s">
        <v>239</v>
      </c>
      <c r="C44" s="52">
        <v>42795</v>
      </c>
      <c r="D44" s="26">
        <v>43629</v>
      </c>
      <c r="E44" s="26">
        <v>43709</v>
      </c>
      <c r="F44" s="22"/>
      <c r="G44" s="22"/>
      <c r="H44" s="22"/>
      <c r="I44" s="22"/>
      <c r="J44" s="22">
        <f t="shared" si="4"/>
        <v>80</v>
      </c>
      <c r="K44" s="22">
        <f t="shared" si="5"/>
        <v>0</v>
      </c>
      <c r="L44" s="22">
        <f t="shared" si="6"/>
        <v>0</v>
      </c>
      <c r="M44" s="22">
        <f t="shared" si="7"/>
        <v>80</v>
      </c>
      <c r="N44" s="22"/>
    </row>
    <row r="45" spans="1:14" x14ac:dyDescent="0.25">
      <c r="A45" s="4">
        <v>44</v>
      </c>
      <c r="B45" s="6" t="s">
        <v>240</v>
      </c>
      <c r="C45" s="52">
        <v>42795</v>
      </c>
      <c r="D45" s="26">
        <v>43675</v>
      </c>
      <c r="E45" s="26">
        <v>43735</v>
      </c>
      <c r="F45" s="22"/>
      <c r="G45" s="22"/>
      <c r="H45" s="22"/>
      <c r="I45" s="22"/>
      <c r="J45" s="22">
        <f t="shared" si="4"/>
        <v>60</v>
      </c>
      <c r="K45" s="22">
        <f t="shared" si="5"/>
        <v>0</v>
      </c>
      <c r="L45" s="22">
        <f t="shared" si="6"/>
        <v>0</v>
      </c>
      <c r="M45" s="22">
        <f t="shared" si="7"/>
        <v>60</v>
      </c>
      <c r="N45" s="22"/>
    </row>
    <row r="46" spans="1:14" x14ac:dyDescent="0.25">
      <c r="A46" s="4">
        <v>45</v>
      </c>
      <c r="B46" s="6" t="s">
        <v>233</v>
      </c>
      <c r="C46" s="52">
        <v>42826</v>
      </c>
      <c r="D46" s="26">
        <v>43625</v>
      </c>
      <c r="E46" s="26">
        <v>43686</v>
      </c>
      <c r="F46" s="22"/>
      <c r="G46" s="22"/>
      <c r="H46" s="22"/>
      <c r="I46" s="22"/>
      <c r="J46" s="22">
        <f t="shared" si="4"/>
        <v>61</v>
      </c>
      <c r="K46" s="22">
        <f t="shared" si="5"/>
        <v>0</v>
      </c>
      <c r="L46" s="22">
        <f t="shared" si="6"/>
        <v>0</v>
      </c>
      <c r="M46" s="22">
        <f t="shared" si="7"/>
        <v>61</v>
      </c>
      <c r="N46" s="22"/>
    </row>
    <row r="47" spans="1:14" x14ac:dyDescent="0.25">
      <c r="A47" s="4">
        <v>46</v>
      </c>
      <c r="B47" s="6" t="s">
        <v>234</v>
      </c>
      <c r="C47" s="52">
        <v>42856</v>
      </c>
      <c r="D47" s="26">
        <v>43708</v>
      </c>
      <c r="E47" s="26">
        <v>43753</v>
      </c>
      <c r="F47" s="22"/>
      <c r="G47" s="22"/>
      <c r="H47" s="22"/>
      <c r="I47" s="22"/>
      <c r="J47" s="22">
        <f t="shared" si="4"/>
        <v>45</v>
      </c>
      <c r="K47" s="22">
        <f t="shared" si="5"/>
        <v>0</v>
      </c>
      <c r="L47" s="22">
        <f t="shared" si="6"/>
        <v>0</v>
      </c>
      <c r="M47" s="22">
        <f t="shared" si="7"/>
        <v>45</v>
      </c>
      <c r="N47" s="22"/>
    </row>
    <row r="48" spans="1:14" x14ac:dyDescent="0.25">
      <c r="A48" s="4">
        <v>47</v>
      </c>
      <c r="B48" s="6" t="s">
        <v>235</v>
      </c>
      <c r="C48" s="52">
        <v>42856</v>
      </c>
      <c r="D48" s="22"/>
      <c r="E48" s="22"/>
      <c r="F48" s="22"/>
      <c r="G48" s="22"/>
      <c r="H48" s="22"/>
      <c r="I48" s="22"/>
      <c r="J48" s="22">
        <f t="shared" si="4"/>
        <v>0</v>
      </c>
      <c r="K48" s="22">
        <f t="shared" si="5"/>
        <v>0</v>
      </c>
      <c r="L48" s="22">
        <f t="shared" si="6"/>
        <v>0</v>
      </c>
      <c r="M48" s="22">
        <f t="shared" si="7"/>
        <v>0</v>
      </c>
      <c r="N48" s="22"/>
    </row>
    <row r="49" spans="1:14" x14ac:dyDescent="0.25">
      <c r="A49" s="4">
        <v>48</v>
      </c>
      <c r="B49" s="6" t="s">
        <v>236</v>
      </c>
      <c r="C49" s="52">
        <v>42856</v>
      </c>
      <c r="D49" s="26">
        <v>43679</v>
      </c>
      <c r="E49" s="26">
        <v>43739</v>
      </c>
      <c r="F49" s="22"/>
      <c r="G49" s="22"/>
      <c r="H49" s="22"/>
      <c r="I49" s="22"/>
      <c r="J49" s="22">
        <f t="shared" si="4"/>
        <v>60</v>
      </c>
      <c r="K49" s="22">
        <f t="shared" si="5"/>
        <v>0</v>
      </c>
      <c r="L49" s="22">
        <f t="shared" si="6"/>
        <v>0</v>
      </c>
      <c r="M49" s="22">
        <f t="shared" si="7"/>
        <v>60</v>
      </c>
      <c r="N49" s="22"/>
    </row>
    <row r="50" spans="1:14" x14ac:dyDescent="0.25">
      <c r="A50" s="4">
        <v>49</v>
      </c>
      <c r="B50" s="6" t="s">
        <v>241</v>
      </c>
      <c r="C50" s="52">
        <v>42948</v>
      </c>
      <c r="D50" s="26">
        <v>43767</v>
      </c>
      <c r="E50" s="26">
        <v>43828</v>
      </c>
      <c r="F50" s="22"/>
      <c r="G50" s="22"/>
      <c r="H50" s="22"/>
      <c r="I50" s="22"/>
      <c r="J50" s="22">
        <f t="shared" si="4"/>
        <v>61</v>
      </c>
      <c r="K50" s="22">
        <f t="shared" si="5"/>
        <v>0</v>
      </c>
      <c r="L50" s="22">
        <f t="shared" si="6"/>
        <v>0</v>
      </c>
      <c r="M50" s="22">
        <f t="shared" si="7"/>
        <v>61</v>
      </c>
      <c r="N50" s="22"/>
    </row>
    <row r="51" spans="1:14" x14ac:dyDescent="0.25">
      <c r="A51" s="4">
        <v>50</v>
      </c>
      <c r="B51" s="6" t="s">
        <v>242</v>
      </c>
      <c r="C51" s="52">
        <v>42948</v>
      </c>
      <c r="D51" s="26">
        <v>43594</v>
      </c>
      <c r="E51" s="26">
        <v>43601</v>
      </c>
      <c r="F51" s="22"/>
      <c r="G51" s="22"/>
      <c r="H51" s="22"/>
      <c r="I51" s="22"/>
      <c r="J51" s="22">
        <f t="shared" si="4"/>
        <v>7</v>
      </c>
      <c r="K51" s="22">
        <f t="shared" si="5"/>
        <v>0</v>
      </c>
      <c r="L51" s="22">
        <f t="shared" si="6"/>
        <v>0</v>
      </c>
      <c r="M51" s="22">
        <f t="shared" si="7"/>
        <v>7</v>
      </c>
      <c r="N51" s="22"/>
    </row>
    <row r="52" spans="1:14" x14ac:dyDescent="0.25">
      <c r="A52" s="4">
        <v>51</v>
      </c>
      <c r="B52" s="6" t="s">
        <v>243</v>
      </c>
      <c r="C52" s="52">
        <v>42979</v>
      </c>
      <c r="D52" s="22"/>
      <c r="E52" s="22"/>
      <c r="F52" s="22"/>
      <c r="G52" s="22"/>
      <c r="H52" s="22"/>
      <c r="I52" s="22"/>
      <c r="J52" s="22">
        <f t="shared" si="4"/>
        <v>0</v>
      </c>
      <c r="K52" s="22">
        <f t="shared" si="5"/>
        <v>0</v>
      </c>
      <c r="L52" s="22">
        <f t="shared" si="6"/>
        <v>0</v>
      </c>
      <c r="M52" s="22">
        <f t="shared" si="7"/>
        <v>0</v>
      </c>
      <c r="N52" s="22"/>
    </row>
    <row r="53" spans="1:14" x14ac:dyDescent="0.25">
      <c r="A53" s="4">
        <v>52</v>
      </c>
      <c r="B53" s="6" t="s">
        <v>244</v>
      </c>
      <c r="C53" s="52">
        <v>42979</v>
      </c>
      <c r="D53" s="26">
        <v>43757</v>
      </c>
      <c r="E53" s="26">
        <v>43788</v>
      </c>
      <c r="F53" s="22"/>
      <c r="G53" s="22"/>
      <c r="H53" s="22"/>
      <c r="I53" s="22"/>
      <c r="J53" s="22">
        <f t="shared" si="4"/>
        <v>31</v>
      </c>
      <c r="K53" s="22">
        <f t="shared" si="5"/>
        <v>0</v>
      </c>
      <c r="L53" s="22">
        <f t="shared" si="6"/>
        <v>0</v>
      </c>
      <c r="M53" s="22">
        <f t="shared" si="7"/>
        <v>31</v>
      </c>
      <c r="N53" s="22"/>
    </row>
    <row r="54" spans="1:14" x14ac:dyDescent="0.25">
      <c r="A54" s="4">
        <v>53</v>
      </c>
      <c r="B54" s="6" t="s">
        <v>247</v>
      </c>
      <c r="C54" s="52">
        <v>43040</v>
      </c>
      <c r="D54" s="26">
        <v>43605</v>
      </c>
      <c r="E54" s="26">
        <v>43635</v>
      </c>
      <c r="F54" s="22"/>
      <c r="G54" s="22"/>
      <c r="H54" s="22"/>
      <c r="I54" s="22"/>
      <c r="J54" s="22">
        <f t="shared" si="4"/>
        <v>30</v>
      </c>
      <c r="K54" s="22">
        <f t="shared" si="5"/>
        <v>0</v>
      </c>
      <c r="L54" s="22">
        <f t="shared" si="6"/>
        <v>0</v>
      </c>
      <c r="M54" s="22">
        <f t="shared" si="7"/>
        <v>30</v>
      </c>
      <c r="N54" s="22"/>
    </row>
    <row r="55" spans="1:14" x14ac:dyDescent="0.25">
      <c r="A55" s="4">
        <v>54</v>
      </c>
      <c r="B55" s="6" t="s">
        <v>250</v>
      </c>
      <c r="C55" s="52">
        <v>43101</v>
      </c>
      <c r="D55" s="26">
        <v>43503</v>
      </c>
      <c r="E55" s="26">
        <v>43527</v>
      </c>
      <c r="F55" s="22"/>
      <c r="G55" s="22"/>
      <c r="H55" s="22"/>
      <c r="I55" s="22"/>
      <c r="J55" s="22">
        <f t="shared" si="4"/>
        <v>24</v>
      </c>
      <c r="K55" s="22">
        <f t="shared" si="5"/>
        <v>0</v>
      </c>
      <c r="L55" s="22">
        <f t="shared" si="6"/>
        <v>0</v>
      </c>
      <c r="M55" s="22">
        <f t="shared" si="7"/>
        <v>24</v>
      </c>
      <c r="N55" s="22"/>
    </row>
    <row r="56" spans="1:14" x14ac:dyDescent="0.25">
      <c r="A56" s="4">
        <v>55</v>
      </c>
      <c r="B56" s="6" t="s">
        <v>251</v>
      </c>
      <c r="C56" s="52">
        <v>43101</v>
      </c>
      <c r="D56" s="22"/>
      <c r="E56" s="22"/>
      <c r="F56" s="22"/>
      <c r="G56" s="22"/>
      <c r="H56" s="22"/>
      <c r="I56" s="22"/>
      <c r="J56" s="22">
        <f t="shared" si="4"/>
        <v>0</v>
      </c>
      <c r="K56" s="22">
        <f t="shared" si="5"/>
        <v>0</v>
      </c>
      <c r="L56" s="22">
        <f t="shared" si="6"/>
        <v>0</v>
      </c>
      <c r="M56" s="22">
        <f t="shared" si="7"/>
        <v>0</v>
      </c>
      <c r="N56" s="22"/>
    </row>
    <row r="57" spans="1:14" x14ac:dyDescent="0.25">
      <c r="A57" s="4">
        <v>56</v>
      </c>
      <c r="B57" s="6" t="s">
        <v>253</v>
      </c>
      <c r="C57" s="52">
        <v>43132</v>
      </c>
      <c r="D57" s="22"/>
      <c r="E57" s="22"/>
      <c r="F57" s="22"/>
      <c r="G57" s="22"/>
      <c r="H57" s="22"/>
      <c r="I57" s="22"/>
      <c r="J57" s="22">
        <f t="shared" si="4"/>
        <v>0</v>
      </c>
      <c r="K57" s="22">
        <f t="shared" si="5"/>
        <v>0</v>
      </c>
      <c r="L57" s="22">
        <f t="shared" si="6"/>
        <v>0</v>
      </c>
      <c r="M57" s="22">
        <f t="shared" si="7"/>
        <v>0</v>
      </c>
      <c r="N57" s="22"/>
    </row>
    <row r="58" spans="1:14" x14ac:dyDescent="0.25">
      <c r="A58" s="4">
        <v>57</v>
      </c>
      <c r="B58" s="6" t="s">
        <v>254</v>
      </c>
      <c r="C58" s="52">
        <v>43191</v>
      </c>
      <c r="D58" s="26">
        <v>43505</v>
      </c>
      <c r="E58" s="26">
        <v>43512</v>
      </c>
      <c r="F58" s="22"/>
      <c r="G58" s="22"/>
      <c r="H58" s="22"/>
      <c r="I58" s="22"/>
      <c r="J58" s="22">
        <f t="shared" si="4"/>
        <v>7</v>
      </c>
      <c r="K58" s="22">
        <f t="shared" si="5"/>
        <v>0</v>
      </c>
      <c r="L58" s="22">
        <f t="shared" si="6"/>
        <v>0</v>
      </c>
      <c r="M58" s="22">
        <f t="shared" si="7"/>
        <v>7</v>
      </c>
      <c r="N58" s="22"/>
    </row>
    <row r="59" spans="1:14" x14ac:dyDescent="0.25">
      <c r="A59" s="4">
        <v>58</v>
      </c>
      <c r="B59" s="22" t="s">
        <v>257</v>
      </c>
      <c r="C59" s="52">
        <v>43282</v>
      </c>
      <c r="D59" s="22"/>
      <c r="E59" s="22"/>
      <c r="F59" s="22"/>
      <c r="G59" s="22"/>
      <c r="H59" s="22"/>
      <c r="I59" s="22"/>
      <c r="J59" s="22">
        <f t="shared" si="4"/>
        <v>0</v>
      </c>
      <c r="K59" s="22">
        <f t="shared" si="5"/>
        <v>0</v>
      </c>
      <c r="L59" s="22">
        <f t="shared" si="6"/>
        <v>0</v>
      </c>
      <c r="M59" s="22">
        <f t="shared" si="7"/>
        <v>0</v>
      </c>
      <c r="N59" s="22"/>
    </row>
    <row r="60" spans="1:14" x14ac:dyDescent="0.25">
      <c r="A60" s="4">
        <v>59</v>
      </c>
      <c r="B60" s="22" t="s">
        <v>258</v>
      </c>
      <c r="C60" s="52">
        <v>43282</v>
      </c>
      <c r="D60" s="26">
        <v>43757</v>
      </c>
      <c r="E60" s="26">
        <v>43770</v>
      </c>
      <c r="F60" s="22"/>
      <c r="G60" s="22"/>
      <c r="H60" s="22"/>
      <c r="I60" s="22"/>
      <c r="J60" s="22">
        <f t="shared" si="4"/>
        <v>13</v>
      </c>
      <c r="K60" s="22">
        <f t="shared" si="5"/>
        <v>0</v>
      </c>
      <c r="L60" s="22">
        <f t="shared" si="6"/>
        <v>0</v>
      </c>
      <c r="M60" s="22">
        <f t="shared" si="7"/>
        <v>13</v>
      </c>
      <c r="N60" s="22"/>
    </row>
    <row r="61" spans="1:14" x14ac:dyDescent="0.25">
      <c r="A61" s="4">
        <v>60</v>
      </c>
      <c r="B61" s="22" t="s">
        <v>259</v>
      </c>
      <c r="C61" s="52">
        <v>43374</v>
      </c>
      <c r="D61" s="22"/>
      <c r="E61" s="22"/>
      <c r="F61" s="22"/>
      <c r="G61" s="22"/>
      <c r="H61" s="22"/>
      <c r="I61" s="22"/>
      <c r="J61" s="22">
        <f t="shared" si="4"/>
        <v>0</v>
      </c>
      <c r="K61" s="22">
        <f t="shared" si="5"/>
        <v>0</v>
      </c>
      <c r="L61" s="22">
        <f t="shared" si="6"/>
        <v>0</v>
      </c>
      <c r="M61" s="22">
        <f t="shared" si="7"/>
        <v>0</v>
      </c>
      <c r="N61" s="22"/>
    </row>
    <row r="62" spans="1:14" x14ac:dyDescent="0.25">
      <c r="A62" s="4">
        <v>61</v>
      </c>
      <c r="B62" s="22" t="s">
        <v>260</v>
      </c>
      <c r="C62" s="52">
        <v>43405</v>
      </c>
      <c r="D62" s="22"/>
      <c r="E62" s="22"/>
      <c r="F62" s="22"/>
      <c r="G62" s="22"/>
      <c r="H62" s="22"/>
      <c r="I62" s="22"/>
      <c r="J62" s="22">
        <f t="shared" si="4"/>
        <v>0</v>
      </c>
      <c r="K62" s="22">
        <f t="shared" si="5"/>
        <v>0</v>
      </c>
      <c r="L62" s="22">
        <f t="shared" si="6"/>
        <v>0</v>
      </c>
      <c r="M62" s="22">
        <f t="shared" si="7"/>
        <v>0</v>
      </c>
      <c r="N62" s="22"/>
    </row>
    <row r="63" spans="1:14" x14ac:dyDescent="0.25">
      <c r="A63" s="4">
        <v>62</v>
      </c>
      <c r="B63" s="22" t="s">
        <v>261</v>
      </c>
      <c r="C63" s="52">
        <v>43466</v>
      </c>
      <c r="D63" s="22"/>
      <c r="E63" s="22"/>
      <c r="F63" s="22"/>
      <c r="G63" s="22"/>
      <c r="H63" s="22"/>
      <c r="I63" s="22"/>
      <c r="J63" s="22">
        <f t="shared" si="4"/>
        <v>0</v>
      </c>
      <c r="K63" s="22">
        <f t="shared" si="5"/>
        <v>0</v>
      </c>
      <c r="L63" s="22">
        <f t="shared" si="6"/>
        <v>0</v>
      </c>
      <c r="M63" s="22">
        <f t="shared" si="7"/>
        <v>0</v>
      </c>
      <c r="N63" s="22"/>
    </row>
    <row r="64" spans="1:14" x14ac:dyDescent="0.25">
      <c r="A64" s="4">
        <v>63</v>
      </c>
      <c r="B64" s="56" t="s">
        <v>262</v>
      </c>
      <c r="C64" s="52">
        <v>43556</v>
      </c>
      <c r="D64" s="26">
        <v>43811</v>
      </c>
      <c r="E64" s="26">
        <v>43830</v>
      </c>
      <c r="F64" s="22"/>
      <c r="G64" s="22"/>
      <c r="H64" s="22"/>
      <c r="I64" s="22"/>
      <c r="J64" s="22">
        <f t="shared" si="4"/>
        <v>19</v>
      </c>
      <c r="K64" s="22">
        <f t="shared" si="5"/>
        <v>0</v>
      </c>
      <c r="L64" s="22">
        <f t="shared" si="6"/>
        <v>0</v>
      </c>
      <c r="M64" s="22">
        <f t="shared" si="7"/>
        <v>19</v>
      </c>
      <c r="N64" s="22"/>
    </row>
    <row r="65" spans="1:14" x14ac:dyDescent="0.25">
      <c r="A65" s="4">
        <v>64</v>
      </c>
      <c r="B65" s="56" t="s">
        <v>264</v>
      </c>
      <c r="C65" s="52">
        <v>43617</v>
      </c>
      <c r="D65" s="22"/>
      <c r="E65" s="22"/>
      <c r="F65" s="22"/>
      <c r="G65" s="22"/>
      <c r="H65" s="22"/>
      <c r="I65" s="22"/>
      <c r="J65" s="22">
        <f t="shared" si="4"/>
        <v>0</v>
      </c>
      <c r="K65" s="22">
        <f t="shared" si="5"/>
        <v>0</v>
      </c>
      <c r="L65" s="22">
        <f t="shared" si="6"/>
        <v>0</v>
      </c>
      <c r="M65" s="22">
        <f t="shared" si="7"/>
        <v>0</v>
      </c>
      <c r="N65" s="22"/>
    </row>
    <row r="66" spans="1:14" x14ac:dyDescent="0.25">
      <c r="A66" s="4">
        <v>65</v>
      </c>
      <c r="B66" s="56" t="s">
        <v>265</v>
      </c>
      <c r="C66" s="52">
        <v>43617</v>
      </c>
      <c r="D66" s="22"/>
      <c r="E66" s="22"/>
      <c r="F66" s="22"/>
      <c r="G66" s="22"/>
      <c r="H66" s="22"/>
      <c r="I66" s="22"/>
      <c r="J66" s="22">
        <f t="shared" si="4"/>
        <v>0</v>
      </c>
      <c r="K66" s="22">
        <f t="shared" si="5"/>
        <v>0</v>
      </c>
      <c r="L66" s="22">
        <f t="shared" si="6"/>
        <v>0</v>
      </c>
      <c r="M66" s="22">
        <f t="shared" si="7"/>
        <v>0</v>
      </c>
      <c r="N66" s="22"/>
    </row>
    <row r="67" spans="1:14" x14ac:dyDescent="0.25">
      <c r="A67" s="4">
        <v>66</v>
      </c>
      <c r="B67" s="58" t="s">
        <v>269</v>
      </c>
      <c r="C67" s="52">
        <v>43647</v>
      </c>
      <c r="D67" s="22"/>
      <c r="E67" s="22"/>
      <c r="F67" s="22"/>
      <c r="G67" s="22"/>
      <c r="H67" s="22"/>
      <c r="I67" s="22"/>
      <c r="J67" s="22">
        <f t="shared" si="4"/>
        <v>0</v>
      </c>
      <c r="K67" s="22">
        <f t="shared" si="5"/>
        <v>0</v>
      </c>
      <c r="L67" s="22">
        <f t="shared" si="6"/>
        <v>0</v>
      </c>
      <c r="M67" s="22">
        <f t="shared" si="7"/>
        <v>0</v>
      </c>
      <c r="N67" s="22"/>
    </row>
    <row r="68" spans="1:14" x14ac:dyDescent="0.25">
      <c r="A68" s="4">
        <v>67</v>
      </c>
      <c r="B68" s="58" t="s">
        <v>270</v>
      </c>
      <c r="C68" s="52">
        <v>43647</v>
      </c>
      <c r="D68" s="22"/>
      <c r="E68" s="22"/>
      <c r="F68" s="22"/>
      <c r="G68" s="22"/>
      <c r="H68" s="22"/>
      <c r="I68" s="22"/>
      <c r="J68" s="22">
        <f t="shared" si="4"/>
        <v>0</v>
      </c>
      <c r="K68" s="22">
        <f t="shared" si="5"/>
        <v>0</v>
      </c>
      <c r="L68" s="22">
        <f t="shared" si="6"/>
        <v>0</v>
      </c>
      <c r="M68" s="22">
        <f t="shared" si="7"/>
        <v>0</v>
      </c>
      <c r="N68" s="22"/>
    </row>
    <row r="69" spans="1:14" x14ac:dyDescent="0.25">
      <c r="A69" s="4">
        <v>68</v>
      </c>
      <c r="B69" s="58" t="s">
        <v>271</v>
      </c>
      <c r="C69" s="52">
        <v>43647</v>
      </c>
      <c r="D69" s="26">
        <v>43812</v>
      </c>
      <c r="E69" s="26">
        <v>43830</v>
      </c>
      <c r="F69" s="22"/>
      <c r="G69" s="22"/>
      <c r="H69" s="22"/>
      <c r="I69" s="22"/>
      <c r="J69" s="22">
        <f t="shared" si="4"/>
        <v>18</v>
      </c>
      <c r="K69" s="22">
        <f t="shared" si="5"/>
        <v>0</v>
      </c>
      <c r="L69" s="22">
        <f t="shared" si="6"/>
        <v>0</v>
      </c>
      <c r="M69" s="22">
        <f t="shared" si="7"/>
        <v>18</v>
      </c>
      <c r="N69" s="22"/>
    </row>
    <row r="70" spans="1:14" x14ac:dyDescent="0.25">
      <c r="A70" s="4">
        <v>69</v>
      </c>
      <c r="B70" s="58" t="s">
        <v>272</v>
      </c>
      <c r="C70" s="52">
        <v>43647</v>
      </c>
      <c r="D70" s="22"/>
      <c r="E70" s="22"/>
      <c r="F70" s="22"/>
      <c r="G70" s="22"/>
      <c r="H70" s="22"/>
      <c r="I70" s="22"/>
      <c r="J70" s="22">
        <f t="shared" ref="J70:J108" si="8">E70-D70</f>
        <v>0</v>
      </c>
      <c r="K70" s="22">
        <f t="shared" ref="K70:K108" si="9">G70-F70</f>
        <v>0</v>
      </c>
      <c r="L70" s="22">
        <f t="shared" ref="L70:L108" si="10">I70-H70</f>
        <v>0</v>
      </c>
      <c r="M70" s="22">
        <f t="shared" ref="M70:M108" si="11">J70+K70+L70</f>
        <v>0</v>
      </c>
      <c r="N70" s="22"/>
    </row>
    <row r="71" spans="1:14" x14ac:dyDescent="0.25">
      <c r="A71" s="4">
        <v>70</v>
      </c>
      <c r="B71" s="58" t="s">
        <v>273</v>
      </c>
      <c r="C71" s="52">
        <v>43647</v>
      </c>
      <c r="D71" s="22"/>
      <c r="E71" s="22"/>
      <c r="F71" s="22"/>
      <c r="G71" s="22"/>
      <c r="H71" s="22"/>
      <c r="I71" s="22"/>
      <c r="J71" s="22">
        <f t="shared" si="8"/>
        <v>0</v>
      </c>
      <c r="K71" s="22">
        <f t="shared" si="9"/>
        <v>0</v>
      </c>
      <c r="L71" s="22">
        <f t="shared" si="10"/>
        <v>0</v>
      </c>
      <c r="M71" s="22">
        <f t="shared" si="11"/>
        <v>0</v>
      </c>
      <c r="N71" s="22"/>
    </row>
    <row r="72" spans="1:14" x14ac:dyDescent="0.25">
      <c r="A72" s="4">
        <v>71</v>
      </c>
      <c r="B72" s="58" t="s">
        <v>276</v>
      </c>
      <c r="C72" s="52">
        <v>43739</v>
      </c>
      <c r="D72" s="22"/>
      <c r="E72" s="22"/>
      <c r="F72" s="22"/>
      <c r="G72" s="22"/>
      <c r="H72" s="22"/>
      <c r="I72" s="22"/>
      <c r="J72" s="22">
        <f t="shared" si="8"/>
        <v>0</v>
      </c>
      <c r="K72" s="22">
        <f t="shared" si="9"/>
        <v>0</v>
      </c>
      <c r="L72" s="22">
        <f t="shared" si="10"/>
        <v>0</v>
      </c>
      <c r="M72" s="22">
        <f t="shared" si="11"/>
        <v>0</v>
      </c>
      <c r="N72" s="22"/>
    </row>
    <row r="73" spans="1:14" x14ac:dyDescent="0.25">
      <c r="A73" s="4">
        <v>72</v>
      </c>
      <c r="B73" s="58" t="s">
        <v>278</v>
      </c>
      <c r="C73" s="52">
        <v>43800</v>
      </c>
      <c r="D73" s="22"/>
      <c r="E73" s="22"/>
      <c r="F73" s="22"/>
      <c r="G73" s="22"/>
      <c r="H73" s="22"/>
      <c r="I73" s="22"/>
      <c r="J73" s="22">
        <f>E73-D73</f>
        <v>0</v>
      </c>
      <c r="K73" s="22">
        <f>G73-F73</f>
        <v>0</v>
      </c>
      <c r="L73" s="22">
        <f>I73-H73</f>
        <v>0</v>
      </c>
      <c r="M73" s="22">
        <f>J73+K73+L73</f>
        <v>0</v>
      </c>
      <c r="N73" s="22"/>
    </row>
    <row r="74" spans="1:14" x14ac:dyDescent="0.25">
      <c r="A74" s="4">
        <v>73</v>
      </c>
      <c r="B74" s="6" t="s">
        <v>29</v>
      </c>
      <c r="C74" s="32">
        <v>39083</v>
      </c>
      <c r="D74" s="26">
        <v>43633</v>
      </c>
      <c r="E74" s="26">
        <v>43677</v>
      </c>
      <c r="F74" s="22"/>
      <c r="G74" s="22"/>
      <c r="H74" s="22"/>
      <c r="I74" s="22"/>
      <c r="J74" s="22">
        <f t="shared" si="8"/>
        <v>44</v>
      </c>
      <c r="K74" s="22">
        <f t="shared" si="9"/>
        <v>0</v>
      </c>
      <c r="L74" s="22">
        <f t="shared" si="10"/>
        <v>0</v>
      </c>
      <c r="M74" s="22">
        <f t="shared" si="11"/>
        <v>44</v>
      </c>
      <c r="N74" s="22"/>
    </row>
    <row r="75" spans="1:14" x14ac:dyDescent="0.25">
      <c r="A75" s="4">
        <v>74</v>
      </c>
      <c r="B75" s="6" t="s">
        <v>30</v>
      </c>
      <c r="C75" s="32">
        <v>39083</v>
      </c>
      <c r="D75" s="26"/>
      <c r="E75" s="26"/>
      <c r="F75" s="22"/>
      <c r="G75" s="22"/>
      <c r="H75" s="22"/>
      <c r="I75" s="22"/>
      <c r="J75" s="22">
        <f t="shared" si="8"/>
        <v>0</v>
      </c>
      <c r="K75" s="22">
        <f t="shared" si="9"/>
        <v>0</v>
      </c>
      <c r="L75" s="22">
        <f t="shared" si="10"/>
        <v>0</v>
      </c>
      <c r="M75" s="22">
        <f t="shared" si="11"/>
        <v>0</v>
      </c>
      <c r="N75" s="22"/>
    </row>
    <row r="76" spans="1:14" x14ac:dyDescent="0.25">
      <c r="A76" s="4">
        <v>75</v>
      </c>
      <c r="B76" s="6" t="s">
        <v>31</v>
      </c>
      <c r="C76" s="32">
        <v>39083</v>
      </c>
      <c r="D76" s="26">
        <v>43674</v>
      </c>
      <c r="E76" s="26">
        <v>43750</v>
      </c>
      <c r="F76" s="22"/>
      <c r="G76" s="22"/>
      <c r="H76" s="22"/>
      <c r="I76" s="22"/>
      <c r="J76" s="22">
        <f t="shared" si="8"/>
        <v>76</v>
      </c>
      <c r="K76" s="22">
        <f t="shared" si="9"/>
        <v>0</v>
      </c>
      <c r="L76" s="22">
        <f t="shared" si="10"/>
        <v>0</v>
      </c>
      <c r="M76" s="22">
        <f t="shared" si="11"/>
        <v>76</v>
      </c>
      <c r="N76" s="22"/>
    </row>
    <row r="77" spans="1:14" x14ac:dyDescent="0.25">
      <c r="A77" s="4">
        <v>76</v>
      </c>
      <c r="B77" s="6" t="s">
        <v>33</v>
      </c>
      <c r="C77" s="32">
        <v>40940</v>
      </c>
      <c r="D77" s="26"/>
      <c r="E77" s="26"/>
      <c r="F77" s="22"/>
      <c r="G77" s="22"/>
      <c r="H77" s="22"/>
      <c r="I77" s="22"/>
      <c r="J77" s="22">
        <f t="shared" si="8"/>
        <v>0</v>
      </c>
      <c r="K77" s="22">
        <f t="shared" si="9"/>
        <v>0</v>
      </c>
      <c r="L77" s="22">
        <f t="shared" si="10"/>
        <v>0</v>
      </c>
      <c r="M77" s="22">
        <f t="shared" si="11"/>
        <v>0</v>
      </c>
      <c r="N77" s="22"/>
    </row>
    <row r="78" spans="1:14" x14ac:dyDescent="0.25">
      <c r="A78" s="4">
        <v>77</v>
      </c>
      <c r="B78" s="6" t="s">
        <v>48</v>
      </c>
      <c r="C78" s="35">
        <v>39173</v>
      </c>
      <c r="D78" s="26">
        <v>43703</v>
      </c>
      <c r="E78" s="26">
        <v>43780</v>
      </c>
      <c r="F78" s="22"/>
      <c r="G78" s="22"/>
      <c r="H78" s="22"/>
      <c r="I78" s="22"/>
      <c r="J78" s="22">
        <f t="shared" si="8"/>
        <v>77</v>
      </c>
      <c r="K78" s="22">
        <f t="shared" si="9"/>
        <v>0</v>
      </c>
      <c r="L78" s="22">
        <f t="shared" si="10"/>
        <v>0</v>
      </c>
      <c r="M78" s="22">
        <f t="shared" si="11"/>
        <v>77</v>
      </c>
      <c r="N78" s="22"/>
    </row>
    <row r="79" spans="1:14" x14ac:dyDescent="0.25">
      <c r="A79" s="4">
        <v>78</v>
      </c>
      <c r="B79" s="6" t="s">
        <v>266</v>
      </c>
      <c r="C79" s="32">
        <v>43617</v>
      </c>
      <c r="D79" s="26">
        <v>43770</v>
      </c>
      <c r="E79" s="26">
        <v>43778</v>
      </c>
      <c r="F79" s="22"/>
      <c r="G79" s="22"/>
      <c r="H79" s="22"/>
      <c r="I79" s="22"/>
      <c r="J79" s="22">
        <f t="shared" si="8"/>
        <v>8</v>
      </c>
      <c r="K79" s="22">
        <f t="shared" si="9"/>
        <v>0</v>
      </c>
      <c r="L79" s="22">
        <f t="shared" si="10"/>
        <v>0</v>
      </c>
      <c r="M79" s="22">
        <f t="shared" si="11"/>
        <v>8</v>
      </c>
      <c r="N79" s="22"/>
    </row>
    <row r="80" spans="1:14" x14ac:dyDescent="0.25">
      <c r="A80" s="4">
        <v>79</v>
      </c>
      <c r="B80" s="6" t="s">
        <v>34</v>
      </c>
      <c r="C80" s="32">
        <v>39083</v>
      </c>
      <c r="D80" s="26">
        <v>43568</v>
      </c>
      <c r="E80" s="26">
        <v>43599</v>
      </c>
      <c r="F80" s="26">
        <v>43693</v>
      </c>
      <c r="G80" s="26">
        <v>43700</v>
      </c>
      <c r="H80" s="26">
        <v>43795</v>
      </c>
      <c r="I80" s="26">
        <v>43804</v>
      </c>
      <c r="J80" s="22">
        <f t="shared" si="8"/>
        <v>31</v>
      </c>
      <c r="K80" s="22">
        <f t="shared" si="9"/>
        <v>7</v>
      </c>
      <c r="L80" s="22">
        <f t="shared" si="10"/>
        <v>9</v>
      </c>
      <c r="M80" s="22">
        <f t="shared" si="11"/>
        <v>47</v>
      </c>
      <c r="N80" s="22"/>
    </row>
    <row r="81" spans="1:14" x14ac:dyDescent="0.25">
      <c r="A81" s="4">
        <v>80</v>
      </c>
      <c r="B81" s="6" t="s">
        <v>35</v>
      </c>
      <c r="C81" s="32">
        <v>39083</v>
      </c>
      <c r="D81" s="26">
        <v>43707</v>
      </c>
      <c r="E81" s="26">
        <v>43740</v>
      </c>
      <c r="F81" s="22"/>
      <c r="G81" s="22"/>
      <c r="H81" s="22"/>
      <c r="I81" s="22"/>
      <c r="J81" s="22">
        <f t="shared" si="8"/>
        <v>33</v>
      </c>
      <c r="K81" s="22">
        <f t="shared" si="9"/>
        <v>0</v>
      </c>
      <c r="L81" s="22">
        <f t="shared" si="10"/>
        <v>0</v>
      </c>
      <c r="M81" s="22">
        <f t="shared" si="11"/>
        <v>33</v>
      </c>
      <c r="N81" s="22"/>
    </row>
    <row r="82" spans="1:14" x14ac:dyDescent="0.25">
      <c r="A82" s="4">
        <v>81</v>
      </c>
      <c r="B82" s="6" t="s">
        <v>37</v>
      </c>
      <c r="C82" s="32">
        <v>40544</v>
      </c>
      <c r="D82" s="26">
        <v>43742</v>
      </c>
      <c r="E82" s="26">
        <v>43776</v>
      </c>
      <c r="F82" s="22"/>
      <c r="G82" s="22"/>
      <c r="H82" s="22"/>
      <c r="I82" s="22"/>
      <c r="J82" s="22">
        <f t="shared" si="8"/>
        <v>34</v>
      </c>
      <c r="K82" s="22">
        <f t="shared" si="9"/>
        <v>0</v>
      </c>
      <c r="L82" s="22">
        <f t="shared" si="10"/>
        <v>0</v>
      </c>
      <c r="M82" s="22">
        <f t="shared" si="11"/>
        <v>34</v>
      </c>
      <c r="N82" s="22"/>
    </row>
    <row r="83" spans="1:14" x14ac:dyDescent="0.25">
      <c r="A83" s="4">
        <v>82</v>
      </c>
      <c r="B83" s="6" t="s">
        <v>39</v>
      </c>
      <c r="C83" s="33">
        <v>40909</v>
      </c>
      <c r="D83" s="26"/>
      <c r="E83" s="26"/>
      <c r="F83" s="22"/>
      <c r="G83" s="22"/>
      <c r="H83" s="22"/>
      <c r="I83" s="22"/>
      <c r="J83" s="22">
        <f t="shared" si="8"/>
        <v>0</v>
      </c>
      <c r="K83" s="22">
        <f t="shared" si="9"/>
        <v>0</v>
      </c>
      <c r="L83" s="22">
        <f t="shared" si="10"/>
        <v>0</v>
      </c>
      <c r="M83" s="22">
        <f t="shared" si="11"/>
        <v>0</v>
      </c>
      <c r="N83" s="22"/>
    </row>
    <row r="84" spans="1:14" x14ac:dyDescent="0.25">
      <c r="A84" s="4">
        <v>83</v>
      </c>
      <c r="B84" s="6" t="s">
        <v>157</v>
      </c>
      <c r="C84" s="32">
        <v>41456</v>
      </c>
      <c r="D84" s="26">
        <v>43466</v>
      </c>
      <c r="E84" s="26">
        <v>43527</v>
      </c>
      <c r="F84" s="22"/>
      <c r="G84" s="22"/>
      <c r="H84" s="22"/>
      <c r="I84" s="22"/>
      <c r="J84" s="22">
        <f t="shared" si="8"/>
        <v>61</v>
      </c>
      <c r="K84" s="22">
        <f t="shared" si="9"/>
        <v>0</v>
      </c>
      <c r="L84" s="22">
        <f t="shared" si="10"/>
        <v>0</v>
      </c>
      <c r="M84" s="22">
        <f t="shared" si="11"/>
        <v>61</v>
      </c>
      <c r="N84" s="22"/>
    </row>
    <row r="85" spans="1:14" x14ac:dyDescent="0.25">
      <c r="A85" s="4">
        <v>84</v>
      </c>
      <c r="B85" s="6" t="s">
        <v>245</v>
      </c>
      <c r="C85" s="32">
        <v>42979</v>
      </c>
      <c r="D85" s="26">
        <v>43826</v>
      </c>
      <c r="E85" s="26">
        <v>43830</v>
      </c>
      <c r="F85" s="22"/>
      <c r="G85" s="22"/>
      <c r="H85" s="22"/>
      <c r="I85" s="22"/>
      <c r="J85" s="22">
        <f t="shared" si="8"/>
        <v>4</v>
      </c>
      <c r="K85" s="22">
        <f t="shared" si="9"/>
        <v>0</v>
      </c>
      <c r="L85" s="22">
        <f t="shared" si="10"/>
        <v>0</v>
      </c>
      <c r="M85" s="22">
        <f t="shared" si="11"/>
        <v>4</v>
      </c>
      <c r="N85" s="22"/>
    </row>
    <row r="86" spans="1:14" x14ac:dyDescent="0.25">
      <c r="A86" s="4">
        <v>85</v>
      </c>
      <c r="B86" s="6" t="s">
        <v>40</v>
      </c>
      <c r="C86" s="32">
        <v>39083</v>
      </c>
      <c r="D86" s="26">
        <v>43586</v>
      </c>
      <c r="E86" s="26">
        <v>43617</v>
      </c>
      <c r="F86" s="22"/>
      <c r="G86" s="22"/>
      <c r="H86" s="22"/>
      <c r="I86" s="22"/>
      <c r="J86" s="22">
        <f t="shared" si="8"/>
        <v>31</v>
      </c>
      <c r="K86" s="22">
        <f t="shared" si="9"/>
        <v>0</v>
      </c>
      <c r="L86" s="22">
        <f t="shared" si="10"/>
        <v>0</v>
      </c>
      <c r="M86" s="22">
        <f t="shared" si="11"/>
        <v>31</v>
      </c>
      <c r="N86" s="22"/>
    </row>
    <row r="87" spans="1:14" x14ac:dyDescent="0.25">
      <c r="A87" s="4">
        <v>86</v>
      </c>
      <c r="B87" s="6" t="s">
        <v>267</v>
      </c>
      <c r="C87" s="32">
        <v>43617</v>
      </c>
      <c r="D87" s="26"/>
      <c r="E87" s="26"/>
      <c r="F87" s="22"/>
      <c r="G87" s="22"/>
      <c r="H87" s="22"/>
      <c r="I87" s="22"/>
      <c r="J87" s="22">
        <f t="shared" si="8"/>
        <v>0</v>
      </c>
      <c r="K87" s="22">
        <f t="shared" si="9"/>
        <v>0</v>
      </c>
      <c r="L87" s="22">
        <f t="shared" si="10"/>
        <v>0</v>
      </c>
      <c r="M87" s="22">
        <f t="shared" si="11"/>
        <v>0</v>
      </c>
      <c r="N87" s="22"/>
    </row>
    <row r="88" spans="1:14" x14ac:dyDescent="0.25">
      <c r="A88" s="4">
        <v>87</v>
      </c>
      <c r="B88" s="6" t="s">
        <v>686</v>
      </c>
      <c r="C88" s="32">
        <v>42856</v>
      </c>
      <c r="D88" s="26">
        <v>43707</v>
      </c>
      <c r="E88" s="26">
        <v>43771</v>
      </c>
      <c r="F88" s="22"/>
      <c r="G88" s="22"/>
      <c r="H88" s="22"/>
      <c r="I88" s="22"/>
      <c r="J88" s="22">
        <f t="shared" si="8"/>
        <v>64</v>
      </c>
      <c r="K88" s="22">
        <f t="shared" si="9"/>
        <v>0</v>
      </c>
      <c r="L88" s="22">
        <f t="shared" si="10"/>
        <v>0</v>
      </c>
      <c r="M88" s="22">
        <f t="shared" si="11"/>
        <v>64</v>
      </c>
      <c r="N88" s="22"/>
    </row>
    <row r="89" spans="1:14" x14ac:dyDescent="0.25">
      <c r="A89" s="4">
        <v>88</v>
      </c>
      <c r="B89" s="56" t="s">
        <v>263</v>
      </c>
      <c r="C89" s="52">
        <v>43617</v>
      </c>
      <c r="D89" s="22"/>
      <c r="E89" s="22"/>
      <c r="F89" s="22"/>
      <c r="G89" s="22"/>
      <c r="H89" s="22"/>
      <c r="I89" s="22"/>
      <c r="J89" s="22">
        <f>E89-D89</f>
        <v>0</v>
      </c>
      <c r="K89" s="22">
        <f>G89-F89</f>
        <v>0</v>
      </c>
      <c r="L89" s="22">
        <f>I89-H89</f>
        <v>0</v>
      </c>
      <c r="M89" s="22">
        <f>J89+K89+L89</f>
        <v>0</v>
      </c>
      <c r="N89" s="22"/>
    </row>
    <row r="90" spans="1:14" x14ac:dyDescent="0.25">
      <c r="A90" s="4">
        <v>89</v>
      </c>
      <c r="B90" s="6" t="s">
        <v>184</v>
      </c>
      <c r="C90" s="32">
        <v>41548</v>
      </c>
      <c r="D90" s="26"/>
      <c r="E90" s="26"/>
      <c r="F90" s="22"/>
      <c r="G90" s="22"/>
      <c r="H90" s="22"/>
      <c r="I90" s="22"/>
      <c r="J90" s="22">
        <f t="shared" si="8"/>
        <v>0</v>
      </c>
      <c r="K90" s="22">
        <f t="shared" si="9"/>
        <v>0</v>
      </c>
      <c r="L90" s="22">
        <f t="shared" si="10"/>
        <v>0</v>
      </c>
      <c r="M90" s="22">
        <f t="shared" si="11"/>
        <v>0</v>
      </c>
      <c r="N90" s="22"/>
    </row>
    <row r="91" spans="1:14" x14ac:dyDescent="0.25">
      <c r="A91" s="4">
        <v>90</v>
      </c>
      <c r="B91" s="6" t="s">
        <v>185</v>
      </c>
      <c r="C91" s="32">
        <v>41609</v>
      </c>
      <c r="D91" s="22"/>
      <c r="E91" s="22"/>
      <c r="F91" s="22"/>
      <c r="G91" s="22"/>
      <c r="H91" s="22"/>
      <c r="I91" s="22"/>
      <c r="J91" s="22">
        <f t="shared" si="8"/>
        <v>0</v>
      </c>
      <c r="K91" s="22">
        <f t="shared" si="9"/>
        <v>0</v>
      </c>
      <c r="L91" s="22">
        <f t="shared" si="10"/>
        <v>0</v>
      </c>
      <c r="M91" s="22">
        <f t="shared" si="11"/>
        <v>0</v>
      </c>
      <c r="N91" s="22"/>
    </row>
    <row r="92" spans="1:14" x14ac:dyDescent="0.25">
      <c r="A92" s="4">
        <v>91</v>
      </c>
      <c r="B92" s="6" t="s">
        <v>43</v>
      </c>
      <c r="C92" s="32">
        <v>40210</v>
      </c>
      <c r="D92" s="26"/>
      <c r="E92" s="26"/>
      <c r="F92" s="22"/>
      <c r="G92" s="22"/>
      <c r="H92" s="22"/>
      <c r="I92" s="22"/>
      <c r="J92" s="22">
        <f t="shared" si="8"/>
        <v>0</v>
      </c>
      <c r="K92" s="22">
        <f t="shared" si="9"/>
        <v>0</v>
      </c>
      <c r="L92" s="22">
        <f t="shared" si="10"/>
        <v>0</v>
      </c>
      <c r="M92" s="22">
        <f t="shared" si="11"/>
        <v>0</v>
      </c>
      <c r="N92" s="22"/>
    </row>
    <row r="93" spans="1:14" x14ac:dyDescent="0.25">
      <c r="A93" s="4">
        <v>92</v>
      </c>
      <c r="B93" s="6" t="s">
        <v>44</v>
      </c>
      <c r="C93" s="32">
        <v>39083</v>
      </c>
      <c r="D93" s="26"/>
      <c r="E93" s="26"/>
      <c r="F93" s="22"/>
      <c r="G93" s="22"/>
      <c r="H93" s="22"/>
      <c r="I93" s="22"/>
      <c r="J93" s="22">
        <f t="shared" si="8"/>
        <v>0</v>
      </c>
      <c r="K93" s="22">
        <f t="shared" si="9"/>
        <v>0</v>
      </c>
      <c r="L93" s="22">
        <f t="shared" si="10"/>
        <v>0</v>
      </c>
      <c r="M93" s="22">
        <f t="shared" si="11"/>
        <v>0</v>
      </c>
      <c r="N93" s="22"/>
    </row>
    <row r="94" spans="1:14" x14ac:dyDescent="0.25">
      <c r="A94" s="4">
        <v>93</v>
      </c>
      <c r="B94" s="6" t="s">
        <v>46</v>
      </c>
      <c r="C94" s="32">
        <v>39083</v>
      </c>
      <c r="D94" s="22"/>
      <c r="E94" s="22"/>
      <c r="F94" s="22"/>
      <c r="G94" s="22"/>
      <c r="H94" s="22"/>
      <c r="I94" s="22"/>
      <c r="J94" s="22">
        <f t="shared" si="8"/>
        <v>0</v>
      </c>
      <c r="K94" s="22">
        <f t="shared" si="9"/>
        <v>0</v>
      </c>
      <c r="L94" s="22">
        <f t="shared" si="10"/>
        <v>0</v>
      </c>
      <c r="M94" s="22">
        <f t="shared" si="11"/>
        <v>0</v>
      </c>
      <c r="N94" s="22"/>
    </row>
    <row r="95" spans="1:14" x14ac:dyDescent="0.25">
      <c r="A95" s="4">
        <v>94</v>
      </c>
      <c r="B95" s="6" t="s">
        <v>49</v>
      </c>
      <c r="C95" s="32">
        <v>39326</v>
      </c>
      <c r="D95" s="26">
        <v>43553</v>
      </c>
      <c r="E95" s="26">
        <v>43645</v>
      </c>
      <c r="F95" s="22"/>
      <c r="G95" s="22"/>
      <c r="H95" s="22"/>
      <c r="I95" s="22"/>
      <c r="J95" s="22">
        <f t="shared" si="8"/>
        <v>92</v>
      </c>
      <c r="K95" s="22">
        <f t="shared" si="9"/>
        <v>0</v>
      </c>
      <c r="L95" s="22">
        <f t="shared" si="10"/>
        <v>0</v>
      </c>
      <c r="M95" s="22">
        <f t="shared" si="11"/>
        <v>92</v>
      </c>
      <c r="N95" s="22"/>
    </row>
    <row r="96" spans="1:14" x14ac:dyDescent="0.25">
      <c r="A96" s="4">
        <v>95</v>
      </c>
      <c r="B96" s="6" t="s">
        <v>51</v>
      </c>
      <c r="C96" s="32">
        <v>39783</v>
      </c>
      <c r="D96" s="26"/>
      <c r="E96" s="26"/>
      <c r="F96" s="22"/>
      <c r="G96" s="22"/>
      <c r="H96" s="22"/>
      <c r="I96" s="22"/>
      <c r="J96" s="22">
        <f t="shared" si="8"/>
        <v>0</v>
      </c>
      <c r="K96" s="22">
        <f t="shared" si="9"/>
        <v>0</v>
      </c>
      <c r="L96" s="22">
        <f t="shared" si="10"/>
        <v>0</v>
      </c>
      <c r="M96" s="22">
        <f t="shared" si="11"/>
        <v>0</v>
      </c>
      <c r="N96" s="22"/>
    </row>
    <row r="97" spans="1:14" x14ac:dyDescent="0.25">
      <c r="A97" s="4">
        <v>96</v>
      </c>
      <c r="B97" s="6" t="s">
        <v>52</v>
      </c>
      <c r="C97" s="32">
        <v>40544</v>
      </c>
      <c r="D97" s="26">
        <v>43703</v>
      </c>
      <c r="E97" s="26">
        <v>43727</v>
      </c>
      <c r="F97" s="22"/>
      <c r="G97" s="22"/>
      <c r="H97" s="22"/>
      <c r="I97" s="22"/>
      <c r="J97" s="22">
        <f t="shared" si="8"/>
        <v>24</v>
      </c>
      <c r="K97" s="22">
        <f t="shared" si="9"/>
        <v>0</v>
      </c>
      <c r="L97" s="22">
        <f t="shared" si="10"/>
        <v>0</v>
      </c>
      <c r="M97" s="22">
        <f t="shared" si="11"/>
        <v>24</v>
      </c>
      <c r="N97" s="22"/>
    </row>
    <row r="98" spans="1:14" x14ac:dyDescent="0.25">
      <c r="A98" s="4">
        <v>97</v>
      </c>
      <c r="B98" s="6" t="s">
        <v>53</v>
      </c>
      <c r="C98" s="32">
        <v>40664</v>
      </c>
      <c r="D98" s="26"/>
      <c r="E98" s="26"/>
      <c r="F98" s="22"/>
      <c r="G98" s="22"/>
      <c r="H98" s="22"/>
      <c r="I98" s="22"/>
      <c r="J98" s="22">
        <f t="shared" si="8"/>
        <v>0</v>
      </c>
      <c r="K98" s="22">
        <f t="shared" si="9"/>
        <v>0</v>
      </c>
      <c r="L98" s="22">
        <f t="shared" si="10"/>
        <v>0</v>
      </c>
      <c r="M98" s="22">
        <f t="shared" si="11"/>
        <v>0</v>
      </c>
      <c r="N98" s="22"/>
    </row>
    <row r="99" spans="1:14" x14ac:dyDescent="0.25">
      <c r="A99" s="4">
        <v>98</v>
      </c>
      <c r="B99" s="6" t="s">
        <v>54</v>
      </c>
      <c r="C99" s="32">
        <v>40695</v>
      </c>
      <c r="D99" s="22"/>
      <c r="E99" s="22"/>
      <c r="F99" s="22"/>
      <c r="G99" s="22"/>
      <c r="H99" s="22"/>
      <c r="I99" s="22"/>
      <c r="J99" s="22">
        <f t="shared" si="8"/>
        <v>0</v>
      </c>
      <c r="K99" s="22">
        <f t="shared" si="9"/>
        <v>0</v>
      </c>
      <c r="L99" s="22">
        <f t="shared" si="10"/>
        <v>0</v>
      </c>
      <c r="M99" s="22">
        <f t="shared" si="11"/>
        <v>0</v>
      </c>
      <c r="N99" s="22"/>
    </row>
    <row r="100" spans="1:14" x14ac:dyDescent="0.25">
      <c r="A100" s="4">
        <v>99</v>
      </c>
      <c r="B100" s="6" t="s">
        <v>55</v>
      </c>
      <c r="C100" s="32">
        <v>40848</v>
      </c>
      <c r="D100" s="22"/>
      <c r="E100" s="22"/>
      <c r="F100" s="22"/>
      <c r="G100" s="22"/>
      <c r="H100" s="22"/>
      <c r="I100" s="22"/>
      <c r="J100" s="22">
        <f t="shared" si="8"/>
        <v>0</v>
      </c>
      <c r="K100" s="22">
        <f t="shared" si="9"/>
        <v>0</v>
      </c>
      <c r="L100" s="22">
        <f t="shared" si="10"/>
        <v>0</v>
      </c>
      <c r="M100" s="22">
        <f t="shared" si="11"/>
        <v>0</v>
      </c>
      <c r="N100" s="22"/>
    </row>
    <row r="101" spans="1:14" x14ac:dyDescent="0.25">
      <c r="A101" s="4">
        <v>100</v>
      </c>
      <c r="B101" s="6" t="s">
        <v>186</v>
      </c>
      <c r="C101" s="32">
        <v>41791</v>
      </c>
      <c r="D101" s="26"/>
      <c r="E101" s="26"/>
      <c r="F101" s="22"/>
      <c r="G101" s="22"/>
      <c r="H101" s="22"/>
      <c r="I101" s="22"/>
      <c r="J101" s="22">
        <f t="shared" si="8"/>
        <v>0</v>
      </c>
      <c r="K101" s="22">
        <f t="shared" si="9"/>
        <v>0</v>
      </c>
      <c r="L101" s="22">
        <f t="shared" si="10"/>
        <v>0</v>
      </c>
      <c r="M101" s="22">
        <f t="shared" si="11"/>
        <v>0</v>
      </c>
      <c r="N101" s="22"/>
    </row>
    <row r="102" spans="1:14" x14ac:dyDescent="0.25">
      <c r="A102" s="4">
        <v>101</v>
      </c>
      <c r="B102" s="6" t="s">
        <v>188</v>
      </c>
      <c r="C102" s="32">
        <v>41852</v>
      </c>
      <c r="D102" s="26">
        <v>43561</v>
      </c>
      <c r="E102" s="26">
        <v>43577</v>
      </c>
      <c r="F102" s="22"/>
      <c r="G102" s="22"/>
      <c r="H102" s="22"/>
      <c r="I102" s="22"/>
      <c r="J102" s="22">
        <f t="shared" si="8"/>
        <v>16</v>
      </c>
      <c r="K102" s="22">
        <f t="shared" si="9"/>
        <v>0</v>
      </c>
      <c r="L102" s="22">
        <f t="shared" si="10"/>
        <v>0</v>
      </c>
      <c r="M102" s="22">
        <f t="shared" si="11"/>
        <v>16</v>
      </c>
      <c r="N102" s="22"/>
    </row>
    <row r="103" spans="1:14" x14ac:dyDescent="0.25">
      <c r="A103" s="4">
        <v>102</v>
      </c>
      <c r="B103" s="6" t="s">
        <v>203</v>
      </c>
      <c r="C103" s="32">
        <v>42156</v>
      </c>
      <c r="D103" s="26">
        <v>43783</v>
      </c>
      <c r="E103" s="26">
        <v>43830</v>
      </c>
      <c r="F103" s="22"/>
      <c r="G103" s="22"/>
      <c r="H103" s="22"/>
      <c r="I103" s="22"/>
      <c r="J103" s="22">
        <f t="shared" si="8"/>
        <v>47</v>
      </c>
      <c r="K103" s="22">
        <f t="shared" si="9"/>
        <v>0</v>
      </c>
      <c r="L103" s="22">
        <f t="shared" si="10"/>
        <v>0</v>
      </c>
      <c r="M103" s="22">
        <f t="shared" si="11"/>
        <v>47</v>
      </c>
      <c r="N103" s="22" t="s">
        <v>246</v>
      </c>
    </row>
    <row r="104" spans="1:14" x14ac:dyDescent="0.25">
      <c r="A104" s="4">
        <v>103</v>
      </c>
      <c r="B104" s="6" t="s">
        <v>204</v>
      </c>
      <c r="C104" s="32">
        <v>42140</v>
      </c>
      <c r="D104" s="22"/>
      <c r="E104" s="22"/>
      <c r="F104" s="22"/>
      <c r="G104" s="22"/>
      <c r="H104" s="22"/>
      <c r="I104" s="22"/>
      <c r="J104" s="22">
        <f t="shared" si="8"/>
        <v>0</v>
      </c>
      <c r="K104" s="22">
        <f t="shared" si="9"/>
        <v>0</v>
      </c>
      <c r="L104" s="22">
        <f t="shared" si="10"/>
        <v>0</v>
      </c>
      <c r="M104" s="22">
        <f t="shared" si="11"/>
        <v>0</v>
      </c>
      <c r="N104" s="22"/>
    </row>
    <row r="105" spans="1:14" x14ac:dyDescent="0.25">
      <c r="A105" s="4">
        <v>104</v>
      </c>
      <c r="B105" s="6" t="s">
        <v>220</v>
      </c>
      <c r="C105" s="55">
        <v>42461</v>
      </c>
      <c r="D105" s="26"/>
      <c r="E105" s="26"/>
      <c r="F105" s="22"/>
      <c r="G105" s="22"/>
      <c r="H105" s="22"/>
      <c r="I105" s="22"/>
      <c r="J105" s="22">
        <f t="shared" si="8"/>
        <v>0</v>
      </c>
      <c r="K105" s="22">
        <f t="shared" si="9"/>
        <v>0</v>
      </c>
      <c r="L105" s="22">
        <f t="shared" si="10"/>
        <v>0</v>
      </c>
      <c r="M105" s="22">
        <f t="shared" si="11"/>
        <v>0</v>
      </c>
      <c r="N105" s="22"/>
    </row>
    <row r="106" spans="1:14" x14ac:dyDescent="0.25">
      <c r="A106" s="4">
        <v>105</v>
      </c>
      <c r="B106" s="6" t="s">
        <v>248</v>
      </c>
      <c r="C106" s="55">
        <v>43040</v>
      </c>
      <c r="D106" s="22"/>
      <c r="E106" s="22"/>
      <c r="F106" s="22"/>
      <c r="G106" s="22"/>
      <c r="H106" s="22"/>
      <c r="I106" s="22"/>
      <c r="J106" s="22">
        <f t="shared" si="8"/>
        <v>0</v>
      </c>
      <c r="K106" s="22">
        <f t="shared" si="9"/>
        <v>0</v>
      </c>
      <c r="L106" s="22">
        <f t="shared" si="10"/>
        <v>0</v>
      </c>
      <c r="M106" s="22">
        <f t="shared" si="11"/>
        <v>0</v>
      </c>
      <c r="N106" s="22"/>
    </row>
    <row r="107" spans="1:14" x14ac:dyDescent="0.25">
      <c r="A107" s="4">
        <v>106</v>
      </c>
      <c r="B107" s="6" t="s">
        <v>249</v>
      </c>
      <c r="C107" s="55">
        <v>43040</v>
      </c>
      <c r="D107" s="26"/>
      <c r="E107" s="26"/>
      <c r="F107" s="22"/>
      <c r="G107" s="22"/>
      <c r="H107" s="22"/>
      <c r="I107" s="22"/>
      <c r="J107" s="22">
        <f t="shared" si="8"/>
        <v>0</v>
      </c>
      <c r="K107" s="22">
        <f t="shared" si="9"/>
        <v>0</v>
      </c>
      <c r="L107" s="22">
        <f t="shared" si="10"/>
        <v>0</v>
      </c>
      <c r="M107" s="22">
        <f t="shared" si="11"/>
        <v>0</v>
      </c>
      <c r="N107" s="22"/>
    </row>
    <row r="108" spans="1:14" x14ac:dyDescent="0.25">
      <c r="A108" s="4">
        <v>107</v>
      </c>
      <c r="B108" s="6" t="s">
        <v>274</v>
      </c>
      <c r="C108" s="55">
        <v>43678</v>
      </c>
      <c r="D108" s="26"/>
      <c r="E108" s="26"/>
      <c r="F108" s="22"/>
      <c r="G108" s="22"/>
      <c r="H108" s="22"/>
      <c r="I108" s="22"/>
      <c r="J108" s="22">
        <f t="shared" si="8"/>
        <v>0</v>
      </c>
      <c r="K108" s="22">
        <f t="shared" si="9"/>
        <v>0</v>
      </c>
      <c r="L108" s="22">
        <f t="shared" si="10"/>
        <v>0</v>
      </c>
      <c r="M108" s="22">
        <f t="shared" si="11"/>
        <v>0</v>
      </c>
      <c r="N108" s="22"/>
    </row>
    <row r="113" spans="1:14" x14ac:dyDescent="0.25">
      <c r="A113" s="4">
        <v>20</v>
      </c>
      <c r="B113" s="6" t="s">
        <v>135</v>
      </c>
      <c r="C113" s="52">
        <v>41183</v>
      </c>
      <c r="D113" s="26">
        <v>43148</v>
      </c>
      <c r="E113" s="26">
        <v>43281</v>
      </c>
      <c r="F113" s="26"/>
      <c r="G113" s="26"/>
      <c r="H113" s="22"/>
      <c r="I113" s="22"/>
      <c r="J113" s="22">
        <f t="shared" ref="J113:J118" si="12">E113-D113</f>
        <v>133</v>
      </c>
      <c r="K113" s="22">
        <f t="shared" ref="K113:K118" si="13">G113-F113</f>
        <v>0</v>
      </c>
      <c r="L113" s="22">
        <f t="shared" ref="L113:L118" si="14">I113-H113</f>
        <v>0</v>
      </c>
      <c r="M113" s="22">
        <f t="shared" ref="M113:M118" si="15">J113+K113+L113</f>
        <v>133</v>
      </c>
      <c r="N113" s="22" t="s">
        <v>255</v>
      </c>
    </row>
    <row r="114" spans="1:14" x14ac:dyDescent="0.25">
      <c r="A114" s="4">
        <v>35</v>
      </c>
      <c r="B114" s="6" t="s">
        <v>195</v>
      </c>
      <c r="C114" s="44">
        <v>42005</v>
      </c>
      <c r="D114" s="26">
        <v>43302</v>
      </c>
      <c r="E114" s="26">
        <v>43366</v>
      </c>
      <c r="F114" s="22"/>
      <c r="G114" s="22"/>
      <c r="H114" s="22"/>
      <c r="I114" s="22"/>
      <c r="J114" s="22">
        <f t="shared" si="12"/>
        <v>64</v>
      </c>
      <c r="K114" s="22">
        <f t="shared" si="13"/>
        <v>0</v>
      </c>
      <c r="L114" s="22">
        <f t="shared" si="14"/>
        <v>0</v>
      </c>
      <c r="M114" s="22">
        <f t="shared" si="15"/>
        <v>64</v>
      </c>
      <c r="N114" s="22"/>
    </row>
    <row r="115" spans="1:14" x14ac:dyDescent="0.25">
      <c r="A115" s="4">
        <v>48</v>
      </c>
      <c r="B115" s="6" t="s">
        <v>224</v>
      </c>
      <c r="C115" s="52">
        <v>42522</v>
      </c>
      <c r="D115" s="26">
        <v>43101</v>
      </c>
      <c r="E115" s="26">
        <v>43127</v>
      </c>
      <c r="F115" s="26"/>
      <c r="G115" s="26"/>
      <c r="H115" s="22"/>
      <c r="I115" s="22"/>
      <c r="J115" s="22">
        <f t="shared" si="12"/>
        <v>26</v>
      </c>
      <c r="K115" s="22">
        <f t="shared" si="13"/>
        <v>0</v>
      </c>
      <c r="L115" s="22">
        <f t="shared" si="14"/>
        <v>0</v>
      </c>
      <c r="M115" s="22">
        <f t="shared" si="15"/>
        <v>26</v>
      </c>
      <c r="N115" s="22" t="s">
        <v>255</v>
      </c>
    </row>
    <row r="116" spans="1:14" x14ac:dyDescent="0.25">
      <c r="A116" s="4">
        <v>4</v>
      </c>
      <c r="B116" s="6" t="s">
        <v>193</v>
      </c>
      <c r="C116" s="32">
        <v>42036</v>
      </c>
      <c r="D116" s="26"/>
      <c r="E116" s="26"/>
      <c r="F116" s="22"/>
      <c r="G116" s="22"/>
      <c r="H116" s="22"/>
      <c r="I116" s="22"/>
      <c r="J116" s="22">
        <f t="shared" si="12"/>
        <v>0</v>
      </c>
      <c r="K116" s="22">
        <f t="shared" si="13"/>
        <v>0</v>
      </c>
      <c r="L116" s="22">
        <f t="shared" si="14"/>
        <v>0</v>
      </c>
      <c r="M116" s="22">
        <f t="shared" si="15"/>
        <v>0</v>
      </c>
      <c r="N116" s="22"/>
    </row>
    <row r="117" spans="1:14" x14ac:dyDescent="0.25">
      <c r="A117" s="4">
        <v>20</v>
      </c>
      <c r="B117" s="6" t="s">
        <v>162</v>
      </c>
      <c r="C117" s="52">
        <v>41487</v>
      </c>
      <c r="D117" s="26"/>
      <c r="E117" s="26"/>
      <c r="F117" s="22"/>
      <c r="G117" s="22"/>
      <c r="H117" s="22"/>
      <c r="I117" s="22"/>
      <c r="J117" s="22">
        <f t="shared" si="12"/>
        <v>0</v>
      </c>
      <c r="K117" s="22">
        <f t="shared" si="13"/>
        <v>0</v>
      </c>
      <c r="L117" s="22">
        <f t="shared" si="14"/>
        <v>0</v>
      </c>
      <c r="M117" s="22">
        <f t="shared" si="15"/>
        <v>0</v>
      </c>
      <c r="N117" s="22"/>
    </row>
    <row r="118" spans="1:14" x14ac:dyDescent="0.25">
      <c r="A118" s="4">
        <v>74</v>
      </c>
      <c r="B118" s="6" t="s">
        <v>47</v>
      </c>
      <c r="C118" s="35">
        <v>39173</v>
      </c>
      <c r="D118" s="26"/>
      <c r="E118" s="26"/>
      <c r="F118" s="22"/>
      <c r="G118" s="22"/>
      <c r="H118" s="22"/>
      <c r="I118" s="22"/>
      <c r="J118" s="22">
        <f t="shared" si="12"/>
        <v>0</v>
      </c>
      <c r="K118" s="22">
        <f t="shared" si="13"/>
        <v>0</v>
      </c>
      <c r="L118" s="22">
        <f t="shared" si="14"/>
        <v>0</v>
      </c>
      <c r="M118" s="22">
        <f t="shared" si="15"/>
        <v>0</v>
      </c>
      <c r="N118" s="22"/>
    </row>
    <row r="119" spans="1:14" x14ac:dyDescent="0.25">
      <c r="A119" s="4">
        <v>20</v>
      </c>
      <c r="B119" s="6" t="s">
        <v>22</v>
      </c>
      <c r="C119" s="52">
        <v>40695</v>
      </c>
      <c r="D119" s="26">
        <v>43501</v>
      </c>
      <c r="E119" s="26">
        <v>43510</v>
      </c>
      <c r="F119" s="22"/>
      <c r="G119" s="22"/>
      <c r="H119" s="22"/>
      <c r="I119" s="22"/>
      <c r="J119" s="22">
        <f>E119-D119</f>
        <v>9</v>
      </c>
      <c r="K119" s="22">
        <f>G119-F119</f>
        <v>0</v>
      </c>
      <c r="L119" s="22">
        <f>I119-H119</f>
        <v>0</v>
      </c>
      <c r="M119" s="22">
        <f>J119+K119+L119</f>
        <v>9</v>
      </c>
      <c r="N119" s="22"/>
    </row>
    <row r="120" spans="1:14" x14ac:dyDescent="0.25">
      <c r="A120" s="4">
        <v>47</v>
      </c>
      <c r="B120" s="6" t="s">
        <v>228</v>
      </c>
      <c r="C120" s="52">
        <v>42675</v>
      </c>
      <c r="D120" s="26">
        <v>43466</v>
      </c>
      <c r="E120" s="26">
        <v>43505</v>
      </c>
      <c r="F120" s="22"/>
      <c r="G120" s="22"/>
      <c r="H120" s="22"/>
      <c r="I120" s="22"/>
      <c r="J120" s="22">
        <f>E120-D120</f>
        <v>39</v>
      </c>
      <c r="K120" s="22">
        <f>G120-F120</f>
        <v>0</v>
      </c>
      <c r="L120" s="22">
        <f>I120-H120</f>
        <v>0</v>
      </c>
      <c r="M120" s="22">
        <f>J120+K120+L120</f>
        <v>39</v>
      </c>
      <c r="N120" s="22"/>
    </row>
    <row r="121" spans="1:14" x14ac:dyDescent="0.25">
      <c r="A121" s="4">
        <v>91</v>
      </c>
      <c r="B121" s="6" t="s">
        <v>237</v>
      </c>
      <c r="C121" s="32">
        <v>42856</v>
      </c>
      <c r="D121" s="26"/>
      <c r="E121" s="26"/>
      <c r="F121" s="22"/>
      <c r="G121" s="22"/>
      <c r="H121" s="22"/>
      <c r="I121" s="22"/>
      <c r="J121" s="22">
        <f>E121-D121</f>
        <v>0</v>
      </c>
      <c r="K121" s="22">
        <f>G121-F121</f>
        <v>0</v>
      </c>
      <c r="L121" s="22">
        <f>I121-H121</f>
        <v>0</v>
      </c>
      <c r="M121" s="22">
        <f>J121+K121+L121</f>
        <v>0</v>
      </c>
      <c r="N121" s="22"/>
    </row>
    <row r="122" spans="1:14" x14ac:dyDescent="0.25">
      <c r="A122" s="4">
        <v>35</v>
      </c>
      <c r="B122" s="6" t="s">
        <v>198</v>
      </c>
      <c r="C122" s="44">
        <v>42064</v>
      </c>
      <c r="D122" s="26"/>
      <c r="E122" s="26"/>
      <c r="F122" s="22"/>
      <c r="G122" s="22"/>
      <c r="H122" s="22"/>
      <c r="I122" s="22"/>
      <c r="J122" s="22">
        <f>E122-D122</f>
        <v>0</v>
      </c>
      <c r="K122" s="22">
        <f>G122-F122</f>
        <v>0</v>
      </c>
      <c r="L122" s="22">
        <f>I122-H122</f>
        <v>0</v>
      </c>
      <c r="M122" s="22">
        <f>J122+K122+L122</f>
        <v>0</v>
      </c>
      <c r="N122" s="22"/>
    </row>
    <row r="123" spans="1:14" x14ac:dyDescent="0.25">
      <c r="A123" s="4">
        <v>24</v>
      </c>
      <c r="B123" s="6" t="s">
        <v>153</v>
      </c>
      <c r="C123" s="52">
        <v>41395</v>
      </c>
      <c r="D123" s="26"/>
      <c r="E123" s="26"/>
      <c r="F123" s="22"/>
      <c r="G123" s="22"/>
      <c r="H123" s="22"/>
      <c r="I123" s="22"/>
      <c r="J123" s="22">
        <f>E123-D123</f>
        <v>0</v>
      </c>
      <c r="K123" s="22">
        <f>G123-F123</f>
        <v>0</v>
      </c>
      <c r="L123" s="22">
        <f>I123-H123</f>
        <v>0</v>
      </c>
      <c r="M123" s="22">
        <f>J123+K123+L123</f>
        <v>0</v>
      </c>
      <c r="N123" s="22"/>
    </row>
    <row r="124" spans="1:14" x14ac:dyDescent="0.25">
      <c r="A124" s="4">
        <v>8</v>
      </c>
      <c r="B124" s="6" t="s">
        <v>275</v>
      </c>
      <c r="C124" s="32"/>
      <c r="D124" s="26"/>
      <c r="E124" s="26"/>
      <c r="F124" s="26"/>
      <c r="G124" s="26"/>
      <c r="H124" s="22"/>
      <c r="I124" s="22"/>
      <c r="J124" s="22"/>
      <c r="K124" s="22"/>
      <c r="L124" s="22"/>
      <c r="M124" s="22"/>
      <c r="N124" s="22"/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1"/>
  <sheetViews>
    <sheetView topLeftCell="A71" workbookViewId="0">
      <selection activeCell="B85" sqref="B85"/>
    </sheetView>
  </sheetViews>
  <sheetFormatPr defaultRowHeight="15" x14ac:dyDescent="0.25"/>
  <cols>
    <col min="1" max="1" width="5.42578125" bestFit="1" customWidth="1"/>
    <col min="2" max="2" width="30.5703125" customWidth="1"/>
    <col min="3" max="3" width="12.28515625" bestFit="1" customWidth="1"/>
    <col min="4" max="9" width="10.7109375" bestFit="1" customWidth="1"/>
    <col min="10" max="11" width="4" bestFit="1" customWidth="1"/>
    <col min="12" max="12" width="3" bestFit="1" customWidth="1"/>
    <col min="13" max="13" width="6.5703125" bestFit="1" customWidth="1"/>
    <col min="14" max="14" width="16.140625" bestFit="1" customWidth="1"/>
  </cols>
  <sheetData>
    <row r="1" spans="1:14" x14ac:dyDescent="0.25">
      <c r="A1" s="3" t="s">
        <v>130</v>
      </c>
      <c r="B1" s="9" t="s">
        <v>126</v>
      </c>
      <c r="C1" s="9" t="s">
        <v>131</v>
      </c>
      <c r="D1" s="150" t="s">
        <v>127</v>
      </c>
      <c r="E1" s="150"/>
      <c r="F1" s="150" t="s">
        <v>128</v>
      </c>
      <c r="G1" s="150"/>
      <c r="H1" s="150" t="s">
        <v>215</v>
      </c>
      <c r="I1" s="150"/>
      <c r="J1" s="22">
        <v>1</v>
      </c>
      <c r="K1" s="22">
        <v>2</v>
      </c>
      <c r="L1" s="22">
        <v>3</v>
      </c>
      <c r="M1" s="22" t="s">
        <v>72</v>
      </c>
      <c r="N1" s="51" t="s">
        <v>217</v>
      </c>
    </row>
    <row r="2" spans="1:14" x14ac:dyDescent="0.25">
      <c r="A2" s="4">
        <v>1</v>
      </c>
      <c r="B2" s="6" t="s">
        <v>1</v>
      </c>
      <c r="C2" s="32">
        <v>39295</v>
      </c>
      <c r="D2" s="26">
        <v>43109</v>
      </c>
      <c r="E2" s="26">
        <v>43121</v>
      </c>
      <c r="F2" s="26">
        <v>43330</v>
      </c>
      <c r="G2" s="26">
        <v>43339</v>
      </c>
      <c r="H2" s="22"/>
      <c r="I2" s="22"/>
      <c r="J2" s="22">
        <f>E2-D2</f>
        <v>12</v>
      </c>
      <c r="K2" s="22">
        <f>G2-F2</f>
        <v>9</v>
      </c>
      <c r="L2" s="22">
        <f>I2-H2</f>
        <v>0</v>
      </c>
      <c r="M2" s="22">
        <f>J2+K2+L2</f>
        <v>21</v>
      </c>
      <c r="N2" s="22"/>
    </row>
    <row r="3" spans="1:14" x14ac:dyDescent="0.25">
      <c r="A3" s="4">
        <v>2</v>
      </c>
      <c r="B3" s="6" t="s">
        <v>179</v>
      </c>
      <c r="C3" s="32">
        <v>41883</v>
      </c>
      <c r="D3" s="26"/>
      <c r="E3" s="26"/>
      <c r="F3" s="22"/>
      <c r="G3" s="22"/>
      <c r="H3" s="22"/>
      <c r="I3" s="22"/>
      <c r="J3" s="22">
        <f t="shared" ref="J3:J62" si="0">E3-D3</f>
        <v>0</v>
      </c>
      <c r="K3" s="22">
        <f t="shared" ref="K3:K62" si="1">G3-F3</f>
        <v>0</v>
      </c>
      <c r="L3" s="22">
        <f t="shared" ref="L3:L62" si="2">I3-H3</f>
        <v>0</v>
      </c>
      <c r="M3" s="22">
        <f t="shared" ref="M3:M62" si="3">J3+K3+L3</f>
        <v>0</v>
      </c>
      <c r="N3" s="22"/>
    </row>
    <row r="4" spans="1:14" x14ac:dyDescent="0.25">
      <c r="A4" s="4">
        <v>3</v>
      </c>
      <c r="B4" s="6" t="s">
        <v>180</v>
      </c>
      <c r="C4" s="32">
        <v>41883</v>
      </c>
      <c r="D4" s="26"/>
      <c r="E4" s="26"/>
      <c r="F4" s="22"/>
      <c r="G4" s="22"/>
      <c r="H4" s="22"/>
      <c r="I4" s="22"/>
      <c r="J4" s="22">
        <f t="shared" si="0"/>
        <v>0</v>
      </c>
      <c r="K4" s="22">
        <f t="shared" si="1"/>
        <v>0</v>
      </c>
      <c r="L4" s="22">
        <f t="shared" si="2"/>
        <v>0</v>
      </c>
      <c r="M4" s="22">
        <f t="shared" si="3"/>
        <v>0</v>
      </c>
      <c r="N4" s="22"/>
    </row>
    <row r="5" spans="1:14" x14ac:dyDescent="0.25">
      <c r="A5" s="4">
        <v>4</v>
      </c>
      <c r="B5" s="6" t="s">
        <v>193</v>
      </c>
      <c r="C5" s="32">
        <v>42036</v>
      </c>
      <c r="D5" s="26">
        <v>43101</v>
      </c>
      <c r="E5" s="26">
        <v>43109</v>
      </c>
      <c r="F5" s="22"/>
      <c r="G5" s="22"/>
      <c r="H5" s="22"/>
      <c r="I5" s="22"/>
      <c r="J5" s="22">
        <f t="shared" si="0"/>
        <v>8</v>
      </c>
      <c r="K5" s="22">
        <f t="shared" si="1"/>
        <v>0</v>
      </c>
      <c r="L5" s="22">
        <f t="shared" si="2"/>
        <v>0</v>
      </c>
      <c r="M5" s="22">
        <f t="shared" si="3"/>
        <v>8</v>
      </c>
      <c r="N5" s="22"/>
    </row>
    <row r="6" spans="1:14" x14ac:dyDescent="0.25">
      <c r="A6" s="4">
        <v>5</v>
      </c>
      <c r="B6" s="6" t="s">
        <v>42</v>
      </c>
      <c r="C6" s="32">
        <v>42186</v>
      </c>
      <c r="D6" s="26">
        <v>43343</v>
      </c>
      <c r="E6" s="26">
        <v>43354</v>
      </c>
      <c r="F6" s="22"/>
      <c r="G6" s="22"/>
      <c r="H6" s="22"/>
      <c r="I6" s="22"/>
      <c r="J6" s="22">
        <f t="shared" si="0"/>
        <v>11</v>
      </c>
      <c r="K6" s="22">
        <f t="shared" si="1"/>
        <v>0</v>
      </c>
      <c r="L6" s="22">
        <f t="shared" si="2"/>
        <v>0</v>
      </c>
      <c r="M6" s="22">
        <f t="shared" si="3"/>
        <v>11</v>
      </c>
      <c r="N6" s="22"/>
    </row>
    <row r="7" spans="1:14" x14ac:dyDescent="0.25">
      <c r="A7" s="4">
        <v>6</v>
      </c>
      <c r="B7" s="6" t="s">
        <v>231</v>
      </c>
      <c r="C7" s="32">
        <v>42736</v>
      </c>
      <c r="D7" s="26">
        <v>43204</v>
      </c>
      <c r="E7" s="26">
        <v>43225</v>
      </c>
      <c r="F7" s="22"/>
      <c r="G7" s="22"/>
      <c r="H7" s="22"/>
      <c r="I7" s="22"/>
      <c r="J7" s="22">
        <f t="shared" si="0"/>
        <v>21</v>
      </c>
      <c r="K7" s="22">
        <f t="shared" si="1"/>
        <v>0</v>
      </c>
      <c r="L7" s="22">
        <f t="shared" si="2"/>
        <v>0</v>
      </c>
      <c r="M7" s="22">
        <f t="shared" si="3"/>
        <v>21</v>
      </c>
      <c r="N7" s="22"/>
    </row>
    <row r="8" spans="1:14" x14ac:dyDescent="0.25">
      <c r="A8" s="4">
        <v>7</v>
      </c>
      <c r="B8" s="6" t="s">
        <v>5</v>
      </c>
      <c r="C8" s="32">
        <v>40695</v>
      </c>
      <c r="D8" s="26">
        <v>43101</v>
      </c>
      <c r="E8" s="26">
        <v>43142</v>
      </c>
      <c r="F8" s="26">
        <v>43160</v>
      </c>
      <c r="G8" s="26">
        <v>43176</v>
      </c>
      <c r="H8" s="22"/>
      <c r="I8" s="22"/>
      <c r="J8" s="22">
        <f t="shared" si="0"/>
        <v>41</v>
      </c>
      <c r="K8" s="22">
        <f t="shared" si="1"/>
        <v>16</v>
      </c>
      <c r="L8" s="22">
        <f t="shared" si="2"/>
        <v>0</v>
      </c>
      <c r="M8" s="22">
        <f t="shared" si="3"/>
        <v>57</v>
      </c>
      <c r="N8" s="22"/>
    </row>
    <row r="9" spans="1:14" x14ac:dyDescent="0.25">
      <c r="A9" s="4">
        <v>8</v>
      </c>
      <c r="B9" s="6" t="s">
        <v>6</v>
      </c>
      <c r="C9" s="32">
        <v>39083</v>
      </c>
      <c r="D9" s="26"/>
      <c r="E9" s="26"/>
      <c r="F9" s="26"/>
      <c r="G9" s="26"/>
      <c r="H9" s="26"/>
      <c r="I9" s="26"/>
      <c r="J9" s="22">
        <f t="shared" si="0"/>
        <v>0</v>
      </c>
      <c r="K9" s="22">
        <f t="shared" si="1"/>
        <v>0</v>
      </c>
      <c r="L9" s="22">
        <f t="shared" si="2"/>
        <v>0</v>
      </c>
      <c r="M9" s="22">
        <f t="shared" si="3"/>
        <v>0</v>
      </c>
      <c r="N9" s="22"/>
    </row>
    <row r="10" spans="1:14" x14ac:dyDescent="0.25">
      <c r="A10" s="4">
        <v>9</v>
      </c>
      <c r="B10" s="6" t="s">
        <v>9</v>
      </c>
      <c r="C10" s="32">
        <v>39083</v>
      </c>
      <c r="D10" s="26">
        <v>43148</v>
      </c>
      <c r="E10" s="26">
        <v>43176</v>
      </c>
      <c r="F10" s="22"/>
      <c r="G10" s="22"/>
      <c r="H10" s="22"/>
      <c r="I10" s="22"/>
      <c r="J10" s="22">
        <f t="shared" si="0"/>
        <v>28</v>
      </c>
      <c r="K10" s="22">
        <f t="shared" si="1"/>
        <v>0</v>
      </c>
      <c r="L10" s="22">
        <f t="shared" si="2"/>
        <v>0</v>
      </c>
      <c r="M10" s="22">
        <f t="shared" si="3"/>
        <v>28</v>
      </c>
      <c r="N10" s="22"/>
    </row>
    <row r="11" spans="1:14" x14ac:dyDescent="0.25">
      <c r="A11" s="4">
        <v>10</v>
      </c>
      <c r="B11" s="6" t="s">
        <v>194</v>
      </c>
      <c r="C11" s="32">
        <v>42217</v>
      </c>
      <c r="D11" s="26">
        <v>43101</v>
      </c>
      <c r="E11" s="26">
        <v>43134</v>
      </c>
      <c r="F11" s="26">
        <v>43445</v>
      </c>
      <c r="G11" s="26">
        <v>43456</v>
      </c>
      <c r="H11" s="22"/>
      <c r="I11" s="22"/>
      <c r="J11" s="22">
        <f t="shared" si="0"/>
        <v>33</v>
      </c>
      <c r="K11" s="22">
        <f t="shared" si="1"/>
        <v>11</v>
      </c>
      <c r="L11" s="22">
        <f t="shared" si="2"/>
        <v>0</v>
      </c>
      <c r="M11" s="22">
        <f t="shared" si="3"/>
        <v>44</v>
      </c>
      <c r="N11" s="22"/>
    </row>
    <row r="12" spans="1:14" x14ac:dyDescent="0.25">
      <c r="A12" s="4">
        <v>11</v>
      </c>
      <c r="B12" s="6" t="s">
        <v>10</v>
      </c>
      <c r="C12" s="32">
        <v>39083</v>
      </c>
      <c r="D12" s="26">
        <v>43289</v>
      </c>
      <c r="E12" s="26">
        <v>43307</v>
      </c>
      <c r="F12" s="26"/>
      <c r="G12" s="26"/>
      <c r="H12" s="22"/>
      <c r="I12" s="22"/>
      <c r="J12" s="22">
        <f t="shared" si="0"/>
        <v>18</v>
      </c>
      <c r="K12" s="22">
        <f t="shared" si="1"/>
        <v>0</v>
      </c>
      <c r="L12" s="22">
        <f t="shared" si="2"/>
        <v>0</v>
      </c>
      <c r="M12" s="22">
        <f t="shared" si="3"/>
        <v>18</v>
      </c>
      <c r="N12" s="22"/>
    </row>
    <row r="13" spans="1:14" x14ac:dyDescent="0.25">
      <c r="A13" s="4">
        <v>12</v>
      </c>
      <c r="B13" s="6" t="s">
        <v>11</v>
      </c>
      <c r="C13" s="32">
        <v>39083</v>
      </c>
      <c r="D13" s="26">
        <v>43344</v>
      </c>
      <c r="E13" s="26">
        <v>43357</v>
      </c>
      <c r="F13" s="26"/>
      <c r="G13" s="26"/>
      <c r="H13" s="22"/>
      <c r="I13" s="22"/>
      <c r="J13" s="22">
        <f t="shared" si="0"/>
        <v>13</v>
      </c>
      <c r="K13" s="22">
        <f t="shared" si="1"/>
        <v>0</v>
      </c>
      <c r="L13" s="22">
        <f t="shared" si="2"/>
        <v>0</v>
      </c>
      <c r="M13" s="22">
        <f t="shared" si="3"/>
        <v>13</v>
      </c>
      <c r="N13" s="22"/>
    </row>
    <row r="14" spans="1:14" x14ac:dyDescent="0.25">
      <c r="A14" s="4">
        <v>13</v>
      </c>
      <c r="B14" s="6" t="s">
        <v>12</v>
      </c>
      <c r="C14" s="32">
        <v>39142</v>
      </c>
      <c r="D14" s="26">
        <v>43330</v>
      </c>
      <c r="E14" s="26">
        <v>43340</v>
      </c>
      <c r="F14" s="22"/>
      <c r="G14" s="22"/>
      <c r="H14" s="22"/>
      <c r="I14" s="22"/>
      <c r="J14" s="22">
        <f t="shared" si="0"/>
        <v>10</v>
      </c>
      <c r="K14" s="22">
        <f t="shared" si="1"/>
        <v>0</v>
      </c>
      <c r="L14" s="22">
        <f t="shared" si="2"/>
        <v>0</v>
      </c>
      <c r="M14" s="22">
        <f t="shared" si="3"/>
        <v>10</v>
      </c>
      <c r="N14" s="22"/>
    </row>
    <row r="15" spans="1:14" x14ac:dyDescent="0.25">
      <c r="A15" s="4">
        <v>14</v>
      </c>
      <c r="B15" s="6" t="s">
        <v>192</v>
      </c>
      <c r="C15" s="32">
        <v>42036</v>
      </c>
      <c r="D15" s="26">
        <v>43132</v>
      </c>
      <c r="E15" s="26">
        <v>43146</v>
      </c>
      <c r="F15" s="26">
        <v>43332</v>
      </c>
      <c r="G15" s="26">
        <v>43341</v>
      </c>
      <c r="H15" s="26">
        <v>43442</v>
      </c>
      <c r="I15" s="26">
        <v>43470</v>
      </c>
      <c r="J15" s="22">
        <f>E15-D15</f>
        <v>14</v>
      </c>
      <c r="K15" s="22">
        <f>G15-F15</f>
        <v>9</v>
      </c>
      <c r="L15" s="22">
        <f>I15-H15</f>
        <v>28</v>
      </c>
      <c r="M15" s="22">
        <f>J15+K15+L15</f>
        <v>51</v>
      </c>
      <c r="N15" s="22"/>
    </row>
    <row r="16" spans="1:14" x14ac:dyDescent="0.25">
      <c r="A16" s="4">
        <v>15</v>
      </c>
      <c r="B16" s="6" t="s">
        <v>256</v>
      </c>
      <c r="C16" s="32">
        <v>43252</v>
      </c>
      <c r="D16" s="26">
        <v>43414</v>
      </c>
      <c r="E16" s="26">
        <v>43417</v>
      </c>
      <c r="F16" s="26"/>
      <c r="G16" s="26"/>
      <c r="H16" s="22"/>
      <c r="I16" s="22"/>
      <c r="J16" s="22">
        <f>E16-D16</f>
        <v>3</v>
      </c>
      <c r="K16" s="22">
        <f>G16-F16</f>
        <v>0</v>
      </c>
      <c r="L16" s="22">
        <f>I16-H16</f>
        <v>0</v>
      </c>
      <c r="M16" s="22">
        <f>J16+K16+L16</f>
        <v>3</v>
      </c>
      <c r="N16" s="22"/>
    </row>
    <row r="17" spans="1:14" x14ac:dyDescent="0.25">
      <c r="A17" s="4">
        <v>16</v>
      </c>
      <c r="B17" s="6" t="s">
        <v>13</v>
      </c>
      <c r="C17" s="32">
        <v>39083</v>
      </c>
      <c r="D17" s="26">
        <v>43327</v>
      </c>
      <c r="E17" s="26">
        <v>43335</v>
      </c>
      <c r="F17" s="22"/>
      <c r="G17" s="22"/>
      <c r="H17" s="22"/>
      <c r="I17" s="22"/>
      <c r="J17" s="22">
        <f t="shared" si="0"/>
        <v>8</v>
      </c>
      <c r="K17" s="22">
        <f t="shared" si="1"/>
        <v>0</v>
      </c>
      <c r="L17" s="22">
        <f t="shared" si="2"/>
        <v>0</v>
      </c>
      <c r="M17" s="22">
        <f t="shared" si="3"/>
        <v>8</v>
      </c>
      <c r="N17" s="22"/>
    </row>
    <row r="18" spans="1:14" x14ac:dyDescent="0.25">
      <c r="A18" s="4">
        <v>17</v>
      </c>
      <c r="B18" s="6" t="s">
        <v>145</v>
      </c>
      <c r="C18" s="45">
        <v>41334</v>
      </c>
      <c r="D18" s="26">
        <v>43395</v>
      </c>
      <c r="E18" s="26">
        <v>43402</v>
      </c>
      <c r="F18" s="22"/>
      <c r="G18" s="22"/>
      <c r="H18" s="22"/>
      <c r="I18" s="22"/>
      <c r="J18" s="22">
        <f t="shared" si="0"/>
        <v>7</v>
      </c>
      <c r="K18" s="22">
        <f t="shared" si="1"/>
        <v>0</v>
      </c>
      <c r="L18" s="22">
        <f t="shared" si="2"/>
        <v>0</v>
      </c>
      <c r="M18" s="22">
        <f t="shared" si="3"/>
        <v>7</v>
      </c>
      <c r="N18" s="22"/>
    </row>
    <row r="19" spans="1:14" x14ac:dyDescent="0.25">
      <c r="A19" s="4">
        <v>19</v>
      </c>
      <c r="B19" s="6" t="s">
        <v>16</v>
      </c>
      <c r="C19" s="32">
        <v>40210</v>
      </c>
      <c r="D19" s="26">
        <v>43218</v>
      </c>
      <c r="E19" s="26">
        <v>43227</v>
      </c>
      <c r="F19" s="22"/>
      <c r="G19" s="22"/>
      <c r="H19" s="22"/>
      <c r="I19" s="22"/>
      <c r="J19" s="22">
        <f>E19-D19</f>
        <v>9</v>
      </c>
      <c r="K19" s="22">
        <f>G19-F19</f>
        <v>0</v>
      </c>
      <c r="L19" s="22">
        <f>I19-H19</f>
        <v>0</v>
      </c>
      <c r="M19" s="22">
        <f>J19+K19+L19</f>
        <v>9</v>
      </c>
      <c r="N19" s="22"/>
    </row>
    <row r="20" spans="1:14" x14ac:dyDescent="0.25">
      <c r="A20" s="4">
        <v>18</v>
      </c>
      <c r="B20" s="6" t="s">
        <v>21</v>
      </c>
      <c r="C20" s="34">
        <v>40483</v>
      </c>
      <c r="D20" s="26">
        <v>43172</v>
      </c>
      <c r="E20" s="26">
        <v>43211</v>
      </c>
      <c r="F20" s="26">
        <v>43358</v>
      </c>
      <c r="G20" s="26">
        <v>43366</v>
      </c>
      <c r="H20" s="22"/>
      <c r="I20" s="22"/>
      <c r="J20" s="22">
        <f>E20-D20</f>
        <v>39</v>
      </c>
      <c r="K20" s="22">
        <f>G20-F20</f>
        <v>8</v>
      </c>
      <c r="L20" s="22">
        <f>I20-H20</f>
        <v>0</v>
      </c>
      <c r="M20" s="22">
        <f>J20+K20+L20</f>
        <v>47</v>
      </c>
      <c r="N20" s="22"/>
    </row>
    <row r="21" spans="1:14" x14ac:dyDescent="0.25">
      <c r="A21" s="4">
        <v>20</v>
      </c>
      <c r="B21" s="6" t="s">
        <v>162</v>
      </c>
      <c r="C21" s="52">
        <v>41487</v>
      </c>
      <c r="D21" s="26">
        <v>43379</v>
      </c>
      <c r="E21" s="26">
        <v>43414</v>
      </c>
      <c r="F21" s="22"/>
      <c r="G21" s="22"/>
      <c r="H21" s="22"/>
      <c r="I21" s="22"/>
      <c r="J21" s="22">
        <f t="shared" si="0"/>
        <v>35</v>
      </c>
      <c r="K21" s="22">
        <f t="shared" si="1"/>
        <v>0</v>
      </c>
      <c r="L21" s="22">
        <f t="shared" si="2"/>
        <v>0</v>
      </c>
      <c r="M21" s="22">
        <f t="shared" si="3"/>
        <v>35</v>
      </c>
      <c r="N21" s="22"/>
    </row>
    <row r="22" spans="1:14" x14ac:dyDescent="0.25">
      <c r="A22" s="4">
        <v>21</v>
      </c>
      <c r="B22" s="6" t="s">
        <v>22</v>
      </c>
      <c r="C22" s="52">
        <v>40695</v>
      </c>
      <c r="D22" s="26">
        <v>43132</v>
      </c>
      <c r="E22" s="26">
        <v>43195</v>
      </c>
      <c r="F22" s="22"/>
      <c r="G22" s="22"/>
      <c r="H22" s="22"/>
      <c r="I22" s="22"/>
      <c r="J22" s="22">
        <f t="shared" si="0"/>
        <v>63</v>
      </c>
      <c r="K22" s="22">
        <f t="shared" si="1"/>
        <v>0</v>
      </c>
      <c r="L22" s="22">
        <f t="shared" si="2"/>
        <v>0</v>
      </c>
      <c r="M22" s="22">
        <f t="shared" si="3"/>
        <v>63</v>
      </c>
      <c r="N22" s="22"/>
    </row>
    <row r="23" spans="1:14" x14ac:dyDescent="0.25">
      <c r="A23" s="4">
        <v>22</v>
      </c>
      <c r="B23" s="6" t="s">
        <v>26</v>
      </c>
      <c r="C23" s="52">
        <v>41000</v>
      </c>
      <c r="D23" s="22"/>
      <c r="E23" s="22"/>
      <c r="F23" s="22"/>
      <c r="G23" s="22"/>
      <c r="H23" s="22"/>
      <c r="I23" s="22"/>
      <c r="J23" s="22">
        <f t="shared" si="0"/>
        <v>0</v>
      </c>
      <c r="K23" s="22">
        <f t="shared" si="1"/>
        <v>0</v>
      </c>
      <c r="L23" s="22">
        <f t="shared" si="2"/>
        <v>0</v>
      </c>
      <c r="M23" s="22">
        <f t="shared" si="3"/>
        <v>0</v>
      </c>
      <c r="N23" s="22"/>
    </row>
    <row r="24" spans="1:14" x14ac:dyDescent="0.25">
      <c r="A24" s="4">
        <v>23</v>
      </c>
      <c r="B24" s="6" t="s">
        <v>136</v>
      </c>
      <c r="C24" s="52">
        <v>41214</v>
      </c>
      <c r="D24" s="26">
        <v>43319</v>
      </c>
      <c r="E24" s="26">
        <v>43366</v>
      </c>
      <c r="F24" s="26"/>
      <c r="G24" s="26"/>
      <c r="H24" s="22"/>
      <c r="I24" s="22"/>
      <c r="J24" s="22">
        <f t="shared" si="0"/>
        <v>47</v>
      </c>
      <c r="K24" s="22">
        <f t="shared" si="1"/>
        <v>0</v>
      </c>
      <c r="L24" s="22">
        <f t="shared" si="2"/>
        <v>0</v>
      </c>
      <c r="M24" s="22">
        <f t="shared" si="3"/>
        <v>47</v>
      </c>
      <c r="N24" s="22"/>
    </row>
    <row r="25" spans="1:14" x14ac:dyDescent="0.25">
      <c r="A25" s="4">
        <v>24</v>
      </c>
      <c r="B25" s="6" t="s">
        <v>137</v>
      </c>
      <c r="C25" s="52">
        <v>41244</v>
      </c>
      <c r="D25" s="26">
        <v>43296</v>
      </c>
      <c r="E25" s="26">
        <v>43343</v>
      </c>
      <c r="F25" s="22"/>
      <c r="G25" s="22"/>
      <c r="H25" s="22"/>
      <c r="I25" s="22"/>
      <c r="J25" s="22">
        <f t="shared" si="0"/>
        <v>47</v>
      </c>
      <c r="K25" s="22">
        <f t="shared" si="1"/>
        <v>0</v>
      </c>
      <c r="L25" s="22">
        <f t="shared" si="2"/>
        <v>0</v>
      </c>
      <c r="M25" s="22">
        <f t="shared" si="3"/>
        <v>47</v>
      </c>
      <c r="N25" s="22"/>
    </row>
    <row r="26" spans="1:14" x14ac:dyDescent="0.25">
      <c r="A26" s="4">
        <v>25</v>
      </c>
      <c r="B26" s="6" t="s">
        <v>138</v>
      </c>
      <c r="C26" s="52">
        <v>41244</v>
      </c>
      <c r="D26" s="26"/>
      <c r="E26" s="26"/>
      <c r="F26" s="26"/>
      <c r="G26" s="26"/>
      <c r="H26" s="22"/>
      <c r="I26" s="22"/>
      <c r="J26" s="22">
        <f t="shared" si="0"/>
        <v>0</v>
      </c>
      <c r="K26" s="22">
        <f t="shared" si="1"/>
        <v>0</v>
      </c>
      <c r="L26" s="22">
        <f t="shared" si="2"/>
        <v>0</v>
      </c>
      <c r="M26" s="22">
        <f t="shared" si="3"/>
        <v>0</v>
      </c>
      <c r="N26" s="22"/>
    </row>
    <row r="27" spans="1:14" x14ac:dyDescent="0.25">
      <c r="A27" s="4">
        <v>26</v>
      </c>
      <c r="B27" s="6" t="s">
        <v>153</v>
      </c>
      <c r="C27" s="52">
        <v>41395</v>
      </c>
      <c r="D27" s="26">
        <v>43214</v>
      </c>
      <c r="E27" s="26">
        <v>43274</v>
      </c>
      <c r="F27" s="22"/>
      <c r="G27" s="22"/>
      <c r="H27" s="22"/>
      <c r="I27" s="22"/>
      <c r="J27" s="22">
        <f t="shared" si="0"/>
        <v>60</v>
      </c>
      <c r="K27" s="22">
        <f t="shared" si="1"/>
        <v>0</v>
      </c>
      <c r="L27" s="22">
        <f t="shared" si="2"/>
        <v>0</v>
      </c>
      <c r="M27" s="22">
        <f t="shared" si="3"/>
        <v>60</v>
      </c>
      <c r="N27" s="22"/>
    </row>
    <row r="28" spans="1:14" x14ac:dyDescent="0.25">
      <c r="A28" s="4">
        <v>27</v>
      </c>
      <c r="B28" s="6" t="s">
        <v>161</v>
      </c>
      <c r="C28" s="52">
        <v>41487</v>
      </c>
      <c r="D28" s="26">
        <v>43101</v>
      </c>
      <c r="E28" s="26">
        <v>43103</v>
      </c>
      <c r="F28" s="22"/>
      <c r="G28" s="22"/>
      <c r="H28" s="22"/>
      <c r="I28" s="22"/>
      <c r="J28" s="22">
        <f t="shared" si="0"/>
        <v>2</v>
      </c>
      <c r="K28" s="22">
        <f t="shared" si="1"/>
        <v>0</v>
      </c>
      <c r="L28" s="22">
        <f t="shared" si="2"/>
        <v>0</v>
      </c>
      <c r="M28" s="22">
        <f t="shared" si="3"/>
        <v>2</v>
      </c>
      <c r="N28" s="22"/>
    </row>
    <row r="29" spans="1:14" x14ac:dyDescent="0.25">
      <c r="A29" s="4">
        <v>28</v>
      </c>
      <c r="B29" s="6" t="s">
        <v>163</v>
      </c>
      <c r="C29" s="52">
        <v>41518</v>
      </c>
      <c r="D29" s="26">
        <v>43132</v>
      </c>
      <c r="E29" s="26">
        <v>43177</v>
      </c>
      <c r="F29" s="22"/>
      <c r="G29" s="22"/>
      <c r="H29" s="22"/>
      <c r="I29" s="22"/>
      <c r="J29" s="22">
        <f t="shared" si="0"/>
        <v>45</v>
      </c>
      <c r="K29" s="22">
        <f t="shared" si="1"/>
        <v>0</v>
      </c>
      <c r="L29" s="22">
        <f t="shared" si="2"/>
        <v>0</v>
      </c>
      <c r="M29" s="22">
        <f t="shared" si="3"/>
        <v>45</v>
      </c>
      <c r="N29" s="22"/>
    </row>
    <row r="30" spans="1:14" x14ac:dyDescent="0.25">
      <c r="A30" s="4">
        <v>29</v>
      </c>
      <c r="B30" s="6" t="s">
        <v>164</v>
      </c>
      <c r="C30" s="52">
        <v>41548</v>
      </c>
      <c r="D30" s="26"/>
      <c r="E30" s="26"/>
      <c r="F30" s="22"/>
      <c r="G30" s="22"/>
      <c r="H30" s="22"/>
      <c r="I30" s="22"/>
      <c r="J30" s="22">
        <f t="shared" si="0"/>
        <v>0</v>
      </c>
      <c r="K30" s="22">
        <f t="shared" si="1"/>
        <v>0</v>
      </c>
      <c r="L30" s="22">
        <f t="shared" si="2"/>
        <v>0</v>
      </c>
      <c r="M30" s="22">
        <f t="shared" si="3"/>
        <v>0</v>
      </c>
      <c r="N30" s="22"/>
    </row>
    <row r="31" spans="1:14" x14ac:dyDescent="0.25">
      <c r="A31" s="4">
        <v>30</v>
      </c>
      <c r="B31" s="6" t="s">
        <v>167</v>
      </c>
      <c r="C31" s="52">
        <v>41579</v>
      </c>
      <c r="D31" s="26"/>
      <c r="E31" s="26"/>
      <c r="F31" s="22"/>
      <c r="G31" s="22"/>
      <c r="H31" s="22"/>
      <c r="I31" s="22"/>
      <c r="J31" s="22">
        <f t="shared" si="0"/>
        <v>0</v>
      </c>
      <c r="K31" s="22">
        <f t="shared" si="1"/>
        <v>0</v>
      </c>
      <c r="L31" s="22">
        <f t="shared" si="2"/>
        <v>0</v>
      </c>
      <c r="M31" s="22">
        <f t="shared" si="3"/>
        <v>0</v>
      </c>
      <c r="N31" s="22"/>
    </row>
    <row r="32" spans="1:14" x14ac:dyDescent="0.25">
      <c r="A32" s="4">
        <v>31</v>
      </c>
      <c r="B32" s="6" t="s">
        <v>166</v>
      </c>
      <c r="C32" s="53">
        <v>41609</v>
      </c>
      <c r="D32" s="26"/>
      <c r="E32" s="26"/>
      <c r="F32" s="26"/>
      <c r="G32" s="26"/>
      <c r="H32" s="22"/>
      <c r="I32" s="22"/>
      <c r="J32" s="22">
        <f t="shared" si="0"/>
        <v>0</v>
      </c>
      <c r="K32" s="22">
        <f t="shared" si="1"/>
        <v>0</v>
      </c>
      <c r="L32" s="22">
        <f t="shared" si="2"/>
        <v>0</v>
      </c>
      <c r="M32" s="22">
        <f t="shared" si="3"/>
        <v>0</v>
      </c>
      <c r="N32" s="22"/>
    </row>
    <row r="33" spans="1:14" x14ac:dyDescent="0.25">
      <c r="A33" s="4">
        <v>32</v>
      </c>
      <c r="B33" s="6" t="s">
        <v>170</v>
      </c>
      <c r="C33" s="52">
        <v>41671</v>
      </c>
      <c r="D33" s="26">
        <v>43261</v>
      </c>
      <c r="E33" s="26">
        <v>43335</v>
      </c>
      <c r="F33" s="22"/>
      <c r="G33" s="22"/>
      <c r="H33" s="22"/>
      <c r="I33" s="22"/>
      <c r="J33" s="22">
        <f t="shared" si="0"/>
        <v>74</v>
      </c>
      <c r="K33" s="22">
        <f t="shared" si="1"/>
        <v>0</v>
      </c>
      <c r="L33" s="22">
        <f t="shared" si="2"/>
        <v>0</v>
      </c>
      <c r="M33" s="22">
        <f t="shared" si="3"/>
        <v>74</v>
      </c>
      <c r="N33" s="22"/>
    </row>
    <row r="34" spans="1:14" x14ac:dyDescent="0.25">
      <c r="A34" s="4">
        <v>33</v>
      </c>
      <c r="B34" s="6" t="s">
        <v>182</v>
      </c>
      <c r="C34" s="52">
        <v>41883</v>
      </c>
      <c r="D34" s="26">
        <v>43102</v>
      </c>
      <c r="E34" s="26">
        <v>43132</v>
      </c>
      <c r="F34" s="26">
        <v>43298</v>
      </c>
      <c r="G34" s="26">
        <v>43312</v>
      </c>
      <c r="H34" s="22"/>
      <c r="I34" s="22"/>
      <c r="J34" s="22">
        <f t="shared" si="0"/>
        <v>30</v>
      </c>
      <c r="K34" s="22">
        <f t="shared" si="1"/>
        <v>14</v>
      </c>
      <c r="L34" s="22">
        <f t="shared" si="2"/>
        <v>0</v>
      </c>
      <c r="M34" s="22">
        <f t="shared" si="3"/>
        <v>44</v>
      </c>
      <c r="N34" s="22"/>
    </row>
    <row r="35" spans="1:14" x14ac:dyDescent="0.25">
      <c r="A35" s="4">
        <v>34</v>
      </c>
      <c r="B35" s="6" t="s">
        <v>183</v>
      </c>
      <c r="C35" s="52">
        <v>41913</v>
      </c>
      <c r="D35" s="26"/>
      <c r="E35" s="26"/>
      <c r="F35" s="22"/>
      <c r="G35" s="22"/>
      <c r="H35" s="22"/>
      <c r="I35" s="22"/>
      <c r="J35" s="22">
        <f t="shared" si="0"/>
        <v>0</v>
      </c>
      <c r="K35" s="22">
        <f t="shared" si="1"/>
        <v>0</v>
      </c>
      <c r="L35" s="22">
        <f t="shared" si="2"/>
        <v>0</v>
      </c>
      <c r="M35" s="22">
        <f t="shared" si="3"/>
        <v>0</v>
      </c>
      <c r="N35" s="22"/>
    </row>
    <row r="36" spans="1:14" x14ac:dyDescent="0.25">
      <c r="A36" s="4">
        <v>35</v>
      </c>
      <c r="B36" s="6" t="s">
        <v>196</v>
      </c>
      <c r="C36" s="44">
        <v>42005</v>
      </c>
      <c r="D36" s="26"/>
      <c r="E36" s="26"/>
      <c r="F36" s="26"/>
      <c r="G36" s="26"/>
      <c r="H36" s="22"/>
      <c r="I36" s="22"/>
      <c r="J36" s="22">
        <f t="shared" si="0"/>
        <v>0</v>
      </c>
      <c r="K36" s="22">
        <f t="shared" si="1"/>
        <v>0</v>
      </c>
      <c r="L36" s="22">
        <f t="shared" si="2"/>
        <v>0</v>
      </c>
      <c r="M36" s="22">
        <f t="shared" si="3"/>
        <v>0</v>
      </c>
      <c r="N36" s="22"/>
    </row>
    <row r="37" spans="1:14" x14ac:dyDescent="0.25">
      <c r="A37" s="4">
        <v>36</v>
      </c>
      <c r="B37" s="6" t="s">
        <v>197</v>
      </c>
      <c r="C37" s="44">
        <v>42064</v>
      </c>
      <c r="D37" s="26"/>
      <c r="E37" s="26"/>
      <c r="F37" s="22"/>
      <c r="G37" s="22"/>
      <c r="H37" s="22"/>
      <c r="I37" s="22"/>
      <c r="J37" s="22">
        <f t="shared" si="0"/>
        <v>0</v>
      </c>
      <c r="K37" s="22">
        <f t="shared" si="1"/>
        <v>0</v>
      </c>
      <c r="L37" s="22">
        <f t="shared" si="2"/>
        <v>0</v>
      </c>
      <c r="M37" s="22">
        <f t="shared" si="3"/>
        <v>0</v>
      </c>
      <c r="N37" s="22"/>
    </row>
    <row r="38" spans="1:14" x14ac:dyDescent="0.25">
      <c r="A38" s="4">
        <v>37</v>
      </c>
      <c r="B38" s="6" t="s">
        <v>198</v>
      </c>
      <c r="C38" s="44">
        <v>42064</v>
      </c>
      <c r="D38" s="26">
        <v>43191</v>
      </c>
      <c r="E38" s="26">
        <v>43235</v>
      </c>
      <c r="F38" s="22"/>
      <c r="G38" s="22"/>
      <c r="H38" s="22"/>
      <c r="I38" s="22"/>
      <c r="J38" s="22">
        <f t="shared" si="0"/>
        <v>44</v>
      </c>
      <c r="K38" s="22">
        <f t="shared" si="1"/>
        <v>0</v>
      </c>
      <c r="L38" s="22">
        <f t="shared" si="2"/>
        <v>0</v>
      </c>
      <c r="M38" s="22">
        <f t="shared" si="3"/>
        <v>44</v>
      </c>
      <c r="N38" s="22"/>
    </row>
    <row r="39" spans="1:14" x14ac:dyDescent="0.25">
      <c r="A39" s="4">
        <v>38</v>
      </c>
      <c r="B39" s="6" t="s">
        <v>199</v>
      </c>
      <c r="C39" s="44">
        <v>42156</v>
      </c>
      <c r="D39" s="26">
        <v>43162</v>
      </c>
      <c r="E39" s="26">
        <v>43269</v>
      </c>
      <c r="F39" s="26">
        <v>43421</v>
      </c>
      <c r="G39" s="26">
        <v>43432</v>
      </c>
      <c r="H39" s="22"/>
      <c r="I39" s="22"/>
      <c r="J39" s="22">
        <f t="shared" si="0"/>
        <v>107</v>
      </c>
      <c r="K39" s="22">
        <f t="shared" si="1"/>
        <v>11</v>
      </c>
      <c r="L39" s="22">
        <f t="shared" si="2"/>
        <v>0</v>
      </c>
      <c r="M39" s="22">
        <f t="shared" si="3"/>
        <v>118</v>
      </c>
      <c r="N39" s="22"/>
    </row>
    <row r="40" spans="1:14" x14ac:dyDescent="0.25">
      <c r="A40" s="4">
        <v>39</v>
      </c>
      <c r="B40" s="6" t="s">
        <v>200</v>
      </c>
      <c r="C40" s="44">
        <v>42248</v>
      </c>
      <c r="D40" s="22"/>
      <c r="E40" s="22"/>
      <c r="F40" s="22"/>
      <c r="G40" s="22"/>
      <c r="H40" s="22"/>
      <c r="I40" s="22"/>
      <c r="J40" s="22">
        <f t="shared" si="0"/>
        <v>0</v>
      </c>
      <c r="K40" s="22">
        <f t="shared" si="1"/>
        <v>0</v>
      </c>
      <c r="L40" s="22">
        <f t="shared" si="2"/>
        <v>0</v>
      </c>
      <c r="M40" s="22">
        <f t="shared" si="3"/>
        <v>0</v>
      </c>
      <c r="N40" s="22"/>
    </row>
    <row r="41" spans="1:14" x14ac:dyDescent="0.25">
      <c r="A41" s="4">
        <v>40</v>
      </c>
      <c r="B41" s="6" t="s">
        <v>201</v>
      </c>
      <c r="C41" s="44">
        <v>42248</v>
      </c>
      <c r="D41" s="26"/>
      <c r="E41" s="26"/>
      <c r="F41" s="22"/>
      <c r="G41" s="22"/>
      <c r="H41" s="22"/>
      <c r="I41" s="22"/>
      <c r="J41" s="22">
        <f t="shared" si="0"/>
        <v>0</v>
      </c>
      <c r="K41" s="22">
        <f t="shared" si="1"/>
        <v>0</v>
      </c>
      <c r="L41" s="22">
        <f t="shared" si="2"/>
        <v>0</v>
      </c>
      <c r="M41" s="22">
        <f t="shared" si="3"/>
        <v>0</v>
      </c>
      <c r="N41" s="22"/>
    </row>
    <row r="42" spans="1:14" x14ac:dyDescent="0.25">
      <c r="A42" s="4">
        <v>41</v>
      </c>
      <c r="B42" s="6" t="s">
        <v>206</v>
      </c>
      <c r="C42" s="44">
        <v>42324</v>
      </c>
      <c r="D42" s="26">
        <v>43132</v>
      </c>
      <c r="E42" s="26">
        <v>43203</v>
      </c>
      <c r="F42" s="22"/>
      <c r="G42" s="22"/>
      <c r="H42" s="22"/>
      <c r="I42" s="22"/>
      <c r="J42" s="22">
        <f t="shared" si="0"/>
        <v>71</v>
      </c>
      <c r="K42" s="22">
        <f t="shared" si="1"/>
        <v>0</v>
      </c>
      <c r="L42" s="22">
        <f t="shared" si="2"/>
        <v>0</v>
      </c>
      <c r="M42" s="22">
        <f t="shared" si="3"/>
        <v>71</v>
      </c>
      <c r="N42" s="22"/>
    </row>
    <row r="43" spans="1:14" x14ac:dyDescent="0.25">
      <c r="A43" s="4">
        <v>42</v>
      </c>
      <c r="B43" s="6" t="s">
        <v>172</v>
      </c>
      <c r="C43" s="52">
        <v>41760</v>
      </c>
      <c r="D43" s="26"/>
      <c r="E43" s="26"/>
      <c r="F43" s="22"/>
      <c r="G43" s="22"/>
      <c r="H43" s="22"/>
      <c r="I43" s="22"/>
      <c r="J43" s="22">
        <f t="shared" si="0"/>
        <v>0</v>
      </c>
      <c r="K43" s="22">
        <f t="shared" si="1"/>
        <v>0</v>
      </c>
      <c r="L43" s="22">
        <f t="shared" si="2"/>
        <v>0</v>
      </c>
      <c r="M43" s="22">
        <f t="shared" si="3"/>
        <v>0</v>
      </c>
      <c r="N43" s="22"/>
    </row>
    <row r="44" spans="1:14" x14ac:dyDescent="0.25">
      <c r="A44" s="4">
        <v>43</v>
      </c>
      <c r="B44" s="6" t="s">
        <v>174</v>
      </c>
      <c r="C44" s="52">
        <v>41760</v>
      </c>
      <c r="D44" s="26">
        <v>43205</v>
      </c>
      <c r="E44" s="26">
        <v>43224</v>
      </c>
      <c r="F44" s="22"/>
      <c r="G44" s="22"/>
      <c r="H44" s="22"/>
      <c r="I44" s="22"/>
      <c r="J44" s="22">
        <f t="shared" si="0"/>
        <v>19</v>
      </c>
      <c r="K44" s="22">
        <f t="shared" si="1"/>
        <v>0</v>
      </c>
      <c r="L44" s="22">
        <f t="shared" si="2"/>
        <v>0</v>
      </c>
      <c r="M44" s="22">
        <f t="shared" si="3"/>
        <v>19</v>
      </c>
      <c r="N44" s="22"/>
    </row>
    <row r="45" spans="1:14" x14ac:dyDescent="0.25">
      <c r="A45" s="4">
        <v>44</v>
      </c>
      <c r="B45" s="6" t="s">
        <v>42</v>
      </c>
      <c r="C45" s="52">
        <v>40878</v>
      </c>
      <c r="D45" s="26"/>
      <c r="E45" s="26"/>
      <c r="F45" s="22"/>
      <c r="G45" s="22"/>
      <c r="H45" s="22"/>
      <c r="I45" s="22"/>
      <c r="J45" s="22">
        <f t="shared" si="0"/>
        <v>0</v>
      </c>
      <c r="K45" s="22">
        <f t="shared" si="1"/>
        <v>0</v>
      </c>
      <c r="L45" s="22">
        <f t="shared" si="2"/>
        <v>0</v>
      </c>
      <c r="M45" s="22">
        <f t="shared" si="3"/>
        <v>0</v>
      </c>
      <c r="N45" s="22"/>
    </row>
    <row r="46" spans="1:14" x14ac:dyDescent="0.25">
      <c r="A46" s="4">
        <v>45</v>
      </c>
      <c r="B46" s="6" t="s">
        <v>221</v>
      </c>
      <c r="C46" s="52">
        <v>42430</v>
      </c>
      <c r="D46" s="26">
        <v>43325</v>
      </c>
      <c r="E46" s="26">
        <v>43398</v>
      </c>
      <c r="F46" s="22"/>
      <c r="G46" s="22"/>
      <c r="H46" s="22"/>
      <c r="I46" s="22"/>
      <c r="J46" s="22">
        <f t="shared" si="0"/>
        <v>73</v>
      </c>
      <c r="K46" s="22">
        <f t="shared" si="1"/>
        <v>0</v>
      </c>
      <c r="L46" s="22">
        <f t="shared" si="2"/>
        <v>0</v>
      </c>
      <c r="M46" s="22">
        <f t="shared" si="3"/>
        <v>73</v>
      </c>
      <c r="N46" s="22"/>
    </row>
    <row r="47" spans="1:14" x14ac:dyDescent="0.25">
      <c r="A47" s="4">
        <v>46</v>
      </c>
      <c r="B47" s="6" t="s">
        <v>222</v>
      </c>
      <c r="C47" s="52">
        <v>42522</v>
      </c>
      <c r="D47" s="22"/>
      <c r="E47" s="22"/>
      <c r="F47" s="22"/>
      <c r="G47" s="22"/>
      <c r="H47" s="22"/>
      <c r="I47" s="22"/>
      <c r="J47" s="22">
        <f t="shared" si="0"/>
        <v>0</v>
      </c>
      <c r="K47" s="22">
        <f t="shared" si="1"/>
        <v>0</v>
      </c>
      <c r="L47" s="22">
        <f t="shared" si="2"/>
        <v>0</v>
      </c>
      <c r="M47" s="22">
        <f t="shared" si="3"/>
        <v>0</v>
      </c>
      <c r="N47" s="22"/>
    </row>
    <row r="48" spans="1:14" x14ac:dyDescent="0.25">
      <c r="A48" s="4">
        <v>47</v>
      </c>
      <c r="B48" s="6" t="s">
        <v>238</v>
      </c>
      <c r="C48" s="52">
        <v>42614</v>
      </c>
      <c r="D48" s="22"/>
      <c r="E48" s="22"/>
      <c r="F48" s="22"/>
      <c r="G48" s="22"/>
      <c r="H48" s="22"/>
      <c r="I48" s="22"/>
      <c r="J48" s="22">
        <f t="shared" si="0"/>
        <v>0</v>
      </c>
      <c r="K48" s="22">
        <f t="shared" si="1"/>
        <v>0</v>
      </c>
      <c r="L48" s="22">
        <f t="shared" si="2"/>
        <v>0</v>
      </c>
      <c r="M48" s="22">
        <f t="shared" si="3"/>
        <v>0</v>
      </c>
      <c r="N48" s="22"/>
    </row>
    <row r="49" spans="1:14" x14ac:dyDescent="0.25">
      <c r="A49" s="4">
        <v>48</v>
      </c>
      <c r="B49" s="6" t="s">
        <v>227</v>
      </c>
      <c r="C49" s="52">
        <v>42644</v>
      </c>
      <c r="D49" s="26">
        <v>43442</v>
      </c>
      <c r="E49" s="26">
        <v>43465</v>
      </c>
      <c r="F49" s="22"/>
      <c r="G49" s="22"/>
      <c r="H49" s="22"/>
      <c r="I49" s="22"/>
      <c r="J49" s="22">
        <f t="shared" si="0"/>
        <v>23</v>
      </c>
      <c r="K49" s="22">
        <f t="shared" si="1"/>
        <v>0</v>
      </c>
      <c r="L49" s="22">
        <f t="shared" si="2"/>
        <v>0</v>
      </c>
      <c r="M49" s="22">
        <f t="shared" si="3"/>
        <v>23</v>
      </c>
      <c r="N49" s="22"/>
    </row>
    <row r="50" spans="1:14" x14ac:dyDescent="0.25">
      <c r="A50" s="4">
        <v>49</v>
      </c>
      <c r="B50" s="6" t="s">
        <v>228</v>
      </c>
      <c r="C50" s="52">
        <v>42675</v>
      </c>
      <c r="D50" s="26">
        <v>43449</v>
      </c>
      <c r="E50" s="26">
        <v>43465</v>
      </c>
      <c r="F50" s="22"/>
      <c r="G50" s="22"/>
      <c r="H50" s="22"/>
      <c r="I50" s="22"/>
      <c r="J50" s="22">
        <f t="shared" si="0"/>
        <v>16</v>
      </c>
      <c r="K50" s="22">
        <f t="shared" si="1"/>
        <v>0</v>
      </c>
      <c r="L50" s="22">
        <f t="shared" si="2"/>
        <v>0</v>
      </c>
      <c r="M50" s="22">
        <f t="shared" si="3"/>
        <v>16</v>
      </c>
      <c r="N50" s="22"/>
    </row>
    <row r="51" spans="1:14" x14ac:dyDescent="0.25">
      <c r="A51" s="4">
        <v>50</v>
      </c>
      <c r="B51" s="6" t="s">
        <v>229</v>
      </c>
      <c r="C51" s="52">
        <v>42675</v>
      </c>
      <c r="D51" s="26">
        <v>43444</v>
      </c>
      <c r="E51" s="26">
        <v>43465</v>
      </c>
      <c r="F51" s="22"/>
      <c r="G51" s="22"/>
      <c r="H51" s="22"/>
      <c r="I51" s="22"/>
      <c r="J51" s="22">
        <f t="shared" si="0"/>
        <v>21</v>
      </c>
      <c r="K51" s="22">
        <f t="shared" si="1"/>
        <v>0</v>
      </c>
      <c r="L51" s="22">
        <f t="shared" si="2"/>
        <v>0</v>
      </c>
      <c r="M51" s="22">
        <f t="shared" si="3"/>
        <v>21</v>
      </c>
      <c r="N51" s="22"/>
    </row>
    <row r="52" spans="1:14" x14ac:dyDescent="0.25">
      <c r="A52" s="4">
        <v>51</v>
      </c>
      <c r="B52" s="6" t="s">
        <v>232</v>
      </c>
      <c r="C52" s="52">
        <v>42736</v>
      </c>
      <c r="D52" s="22"/>
      <c r="E52" s="22"/>
      <c r="F52" s="22"/>
      <c r="G52" s="22"/>
      <c r="H52" s="22"/>
      <c r="I52" s="22"/>
      <c r="J52" s="22">
        <f t="shared" si="0"/>
        <v>0</v>
      </c>
      <c r="K52" s="22">
        <f t="shared" si="1"/>
        <v>0</v>
      </c>
      <c r="L52" s="22">
        <f t="shared" si="2"/>
        <v>0</v>
      </c>
      <c r="M52" s="22">
        <f t="shared" si="3"/>
        <v>0</v>
      </c>
      <c r="N52" s="22"/>
    </row>
    <row r="53" spans="1:14" x14ac:dyDescent="0.25">
      <c r="A53" s="4">
        <v>52</v>
      </c>
      <c r="B53" s="6" t="s">
        <v>239</v>
      </c>
      <c r="C53" s="52">
        <v>42795</v>
      </c>
      <c r="D53" s="26"/>
      <c r="E53" s="26"/>
      <c r="F53" s="22"/>
      <c r="G53" s="22"/>
      <c r="H53" s="22"/>
      <c r="I53" s="22"/>
      <c r="J53" s="22">
        <f t="shared" si="0"/>
        <v>0</v>
      </c>
      <c r="K53" s="22">
        <f t="shared" si="1"/>
        <v>0</v>
      </c>
      <c r="L53" s="22">
        <f t="shared" si="2"/>
        <v>0</v>
      </c>
      <c r="M53" s="22">
        <f t="shared" si="3"/>
        <v>0</v>
      </c>
      <c r="N53" s="22"/>
    </row>
    <row r="54" spans="1:14" x14ac:dyDescent="0.25">
      <c r="A54" s="4">
        <v>53</v>
      </c>
      <c r="B54" s="6" t="s">
        <v>240</v>
      </c>
      <c r="C54" s="52">
        <v>42795</v>
      </c>
      <c r="D54" s="22"/>
      <c r="E54" s="22"/>
      <c r="F54" s="22"/>
      <c r="G54" s="22"/>
      <c r="H54" s="22"/>
      <c r="I54" s="22"/>
      <c r="J54" s="22">
        <f t="shared" si="0"/>
        <v>0</v>
      </c>
      <c r="K54" s="22">
        <f t="shared" si="1"/>
        <v>0</v>
      </c>
      <c r="L54" s="22">
        <f t="shared" si="2"/>
        <v>0</v>
      </c>
      <c r="M54" s="22">
        <f t="shared" si="3"/>
        <v>0</v>
      </c>
      <c r="N54" s="22"/>
    </row>
    <row r="55" spans="1:14" x14ac:dyDescent="0.25">
      <c r="A55" s="4">
        <v>54</v>
      </c>
      <c r="B55" s="6" t="s">
        <v>233</v>
      </c>
      <c r="C55" s="52">
        <v>42826</v>
      </c>
      <c r="D55" s="26">
        <v>43224</v>
      </c>
      <c r="E55" s="26">
        <v>43230</v>
      </c>
      <c r="F55" s="22"/>
      <c r="G55" s="22"/>
      <c r="H55" s="22"/>
      <c r="I55" s="22"/>
      <c r="J55" s="22">
        <f t="shared" si="0"/>
        <v>6</v>
      </c>
      <c r="K55" s="22">
        <f t="shared" si="1"/>
        <v>0</v>
      </c>
      <c r="L55" s="22">
        <f t="shared" si="2"/>
        <v>0</v>
      </c>
      <c r="M55" s="22">
        <f t="shared" si="3"/>
        <v>6</v>
      </c>
      <c r="N55" s="22"/>
    </row>
    <row r="56" spans="1:14" x14ac:dyDescent="0.25">
      <c r="A56" s="4">
        <v>55</v>
      </c>
      <c r="B56" s="6" t="s">
        <v>234</v>
      </c>
      <c r="C56" s="52">
        <v>42856</v>
      </c>
      <c r="D56" s="26">
        <v>43179</v>
      </c>
      <c r="E56" s="26">
        <v>43204</v>
      </c>
      <c r="F56" s="22"/>
      <c r="G56" s="22"/>
      <c r="H56" s="22"/>
      <c r="I56" s="22"/>
      <c r="J56" s="22">
        <f t="shared" si="0"/>
        <v>25</v>
      </c>
      <c r="K56" s="22">
        <f t="shared" si="1"/>
        <v>0</v>
      </c>
      <c r="L56" s="22">
        <f t="shared" si="2"/>
        <v>0</v>
      </c>
      <c r="M56" s="22">
        <f t="shared" si="3"/>
        <v>25</v>
      </c>
      <c r="N56" s="22"/>
    </row>
    <row r="57" spans="1:14" x14ac:dyDescent="0.25">
      <c r="A57" s="4">
        <v>56</v>
      </c>
      <c r="B57" s="6" t="s">
        <v>235</v>
      </c>
      <c r="C57" s="52">
        <v>42856</v>
      </c>
      <c r="D57" s="22"/>
      <c r="E57" s="22"/>
      <c r="F57" s="22"/>
      <c r="G57" s="22"/>
      <c r="H57" s="22"/>
      <c r="I57" s="22"/>
      <c r="J57" s="22">
        <f t="shared" si="0"/>
        <v>0</v>
      </c>
      <c r="K57" s="22">
        <f t="shared" si="1"/>
        <v>0</v>
      </c>
      <c r="L57" s="22">
        <f t="shared" si="2"/>
        <v>0</v>
      </c>
      <c r="M57" s="22">
        <f t="shared" si="3"/>
        <v>0</v>
      </c>
      <c r="N57" s="22"/>
    </row>
    <row r="58" spans="1:14" x14ac:dyDescent="0.25">
      <c r="A58" s="4">
        <v>57</v>
      </c>
      <c r="B58" s="6" t="s">
        <v>236</v>
      </c>
      <c r="C58" s="52">
        <v>42856</v>
      </c>
      <c r="D58" s="22"/>
      <c r="E58" s="22"/>
      <c r="F58" s="22"/>
      <c r="G58" s="22"/>
      <c r="H58" s="22"/>
      <c r="I58" s="22"/>
      <c r="J58" s="22">
        <f t="shared" si="0"/>
        <v>0</v>
      </c>
      <c r="K58" s="22">
        <f t="shared" si="1"/>
        <v>0</v>
      </c>
      <c r="L58" s="22">
        <f t="shared" si="2"/>
        <v>0</v>
      </c>
      <c r="M58" s="22">
        <f t="shared" si="3"/>
        <v>0</v>
      </c>
      <c r="N58" s="22"/>
    </row>
    <row r="59" spans="1:14" x14ac:dyDescent="0.25">
      <c r="A59" s="4">
        <v>58</v>
      </c>
      <c r="B59" s="6" t="s">
        <v>241</v>
      </c>
      <c r="C59" s="52">
        <v>42948</v>
      </c>
      <c r="D59" s="22"/>
      <c r="E59" s="22"/>
      <c r="F59" s="22"/>
      <c r="G59" s="22"/>
      <c r="H59" s="22"/>
      <c r="I59" s="22"/>
      <c r="J59" s="22">
        <f t="shared" si="0"/>
        <v>0</v>
      </c>
      <c r="K59" s="22">
        <f t="shared" si="1"/>
        <v>0</v>
      </c>
      <c r="L59" s="22">
        <f t="shared" si="2"/>
        <v>0</v>
      </c>
      <c r="M59" s="22">
        <f t="shared" si="3"/>
        <v>0</v>
      </c>
      <c r="N59" s="22"/>
    </row>
    <row r="60" spans="1:14" x14ac:dyDescent="0.25">
      <c r="A60" s="4">
        <v>59</v>
      </c>
      <c r="B60" s="6" t="s">
        <v>242</v>
      </c>
      <c r="C60" s="52">
        <v>42948</v>
      </c>
      <c r="D60" s="22"/>
      <c r="E60" s="22"/>
      <c r="F60" s="22"/>
      <c r="G60" s="22"/>
      <c r="H60" s="22"/>
      <c r="I60" s="22"/>
      <c r="J60" s="22">
        <f t="shared" si="0"/>
        <v>0</v>
      </c>
      <c r="K60" s="22">
        <f t="shared" si="1"/>
        <v>0</v>
      </c>
      <c r="L60" s="22">
        <f t="shared" si="2"/>
        <v>0</v>
      </c>
      <c r="M60" s="22">
        <f t="shared" si="3"/>
        <v>0</v>
      </c>
      <c r="N60" s="22"/>
    </row>
    <row r="61" spans="1:14" x14ac:dyDescent="0.25">
      <c r="A61" s="4">
        <v>60</v>
      </c>
      <c r="B61" s="6" t="s">
        <v>243</v>
      </c>
      <c r="C61" s="52">
        <v>42979</v>
      </c>
      <c r="D61" s="22"/>
      <c r="E61" s="22"/>
      <c r="F61" s="22"/>
      <c r="G61" s="22"/>
      <c r="H61" s="22"/>
      <c r="I61" s="22"/>
      <c r="J61" s="22">
        <f t="shared" si="0"/>
        <v>0</v>
      </c>
      <c r="K61" s="22">
        <f t="shared" si="1"/>
        <v>0</v>
      </c>
      <c r="L61" s="22">
        <f t="shared" si="2"/>
        <v>0</v>
      </c>
      <c r="M61" s="22">
        <f t="shared" si="3"/>
        <v>0</v>
      </c>
      <c r="N61" s="22"/>
    </row>
    <row r="62" spans="1:14" x14ac:dyDescent="0.25">
      <c r="A62" s="4">
        <v>61</v>
      </c>
      <c r="B62" s="6" t="s">
        <v>244</v>
      </c>
      <c r="C62" s="52">
        <v>42979</v>
      </c>
      <c r="D62" s="22"/>
      <c r="E62" s="22"/>
      <c r="F62" s="22"/>
      <c r="G62" s="22"/>
      <c r="H62" s="22"/>
      <c r="I62" s="22"/>
      <c r="J62" s="22">
        <f t="shared" si="0"/>
        <v>0</v>
      </c>
      <c r="K62" s="22">
        <f t="shared" si="1"/>
        <v>0</v>
      </c>
      <c r="L62" s="22">
        <f t="shared" si="2"/>
        <v>0</v>
      </c>
      <c r="M62" s="22">
        <f t="shared" si="3"/>
        <v>0</v>
      </c>
      <c r="N62" s="22"/>
    </row>
    <row r="63" spans="1:14" x14ac:dyDescent="0.25">
      <c r="A63" s="4">
        <v>62</v>
      </c>
      <c r="B63" s="6" t="s">
        <v>247</v>
      </c>
      <c r="C63" s="52">
        <v>43040</v>
      </c>
      <c r="D63" s="22"/>
      <c r="E63" s="22"/>
      <c r="F63" s="22"/>
      <c r="G63" s="22"/>
      <c r="H63" s="22"/>
      <c r="I63" s="22"/>
      <c r="J63" s="22">
        <f t="shared" ref="J63:J104" si="4">E63-D63</f>
        <v>0</v>
      </c>
      <c r="K63" s="22">
        <f t="shared" ref="K63:K104" si="5">G63-F63</f>
        <v>0</v>
      </c>
      <c r="L63" s="22">
        <f t="shared" ref="L63:L104" si="6">I63-H63</f>
        <v>0</v>
      </c>
      <c r="M63" s="22">
        <f t="shared" ref="M63:M104" si="7">J63+K63+L63</f>
        <v>0</v>
      </c>
      <c r="N63" s="22"/>
    </row>
    <row r="64" spans="1:14" x14ac:dyDescent="0.25">
      <c r="A64" s="4">
        <v>63</v>
      </c>
      <c r="B64" s="6" t="s">
        <v>250</v>
      </c>
      <c r="C64" s="52">
        <v>43101</v>
      </c>
      <c r="D64" s="22"/>
      <c r="E64" s="22"/>
      <c r="F64" s="22"/>
      <c r="G64" s="22"/>
      <c r="H64" s="22"/>
      <c r="I64" s="22"/>
      <c r="J64" s="22">
        <f t="shared" ref="J64:J71" si="8">E64-D64</f>
        <v>0</v>
      </c>
      <c r="K64" s="22">
        <f t="shared" ref="K64:K71" si="9">G64-F64</f>
        <v>0</v>
      </c>
      <c r="L64" s="22">
        <f t="shared" ref="L64:L71" si="10">I64-H64</f>
        <v>0</v>
      </c>
      <c r="M64" s="22">
        <f t="shared" si="7"/>
        <v>0</v>
      </c>
      <c r="N64" s="22"/>
    </row>
    <row r="65" spans="1:14" x14ac:dyDescent="0.25">
      <c r="A65" s="4">
        <v>64</v>
      </c>
      <c r="B65" s="6" t="s">
        <v>251</v>
      </c>
      <c r="C65" s="52">
        <v>43101</v>
      </c>
      <c r="D65" s="22"/>
      <c r="E65" s="22"/>
      <c r="F65" s="22"/>
      <c r="G65" s="22"/>
      <c r="H65" s="22"/>
      <c r="I65" s="22"/>
      <c r="J65" s="22">
        <f t="shared" si="8"/>
        <v>0</v>
      </c>
      <c r="K65" s="22">
        <f t="shared" si="9"/>
        <v>0</v>
      </c>
      <c r="L65" s="22">
        <f t="shared" si="10"/>
        <v>0</v>
      </c>
      <c r="M65" s="22">
        <f t="shared" si="7"/>
        <v>0</v>
      </c>
      <c r="N65" s="22"/>
    </row>
    <row r="66" spans="1:14" x14ac:dyDescent="0.25">
      <c r="A66" s="4">
        <v>65</v>
      </c>
      <c r="B66" s="6" t="s">
        <v>253</v>
      </c>
      <c r="C66" s="52">
        <v>43132</v>
      </c>
      <c r="D66" s="22"/>
      <c r="E66" s="22"/>
      <c r="F66" s="22"/>
      <c r="G66" s="22"/>
      <c r="H66" s="22"/>
      <c r="I66" s="22"/>
      <c r="J66" s="22">
        <f t="shared" si="8"/>
        <v>0</v>
      </c>
      <c r="K66" s="22">
        <f t="shared" si="9"/>
        <v>0</v>
      </c>
      <c r="L66" s="22">
        <f t="shared" si="10"/>
        <v>0</v>
      </c>
      <c r="M66" s="22">
        <f t="shared" si="7"/>
        <v>0</v>
      </c>
      <c r="N66" s="22"/>
    </row>
    <row r="67" spans="1:14" x14ac:dyDescent="0.25">
      <c r="A67" s="4">
        <v>66</v>
      </c>
      <c r="B67" s="6" t="s">
        <v>254</v>
      </c>
      <c r="C67" s="52">
        <v>43191</v>
      </c>
      <c r="D67" s="22"/>
      <c r="E67" s="22"/>
      <c r="F67" s="22"/>
      <c r="G67" s="22"/>
      <c r="H67" s="22"/>
      <c r="I67" s="22"/>
      <c r="J67" s="22">
        <f t="shared" si="8"/>
        <v>0</v>
      </c>
      <c r="K67" s="22">
        <f t="shared" si="9"/>
        <v>0</v>
      </c>
      <c r="L67" s="22">
        <f t="shared" si="10"/>
        <v>0</v>
      </c>
      <c r="M67" s="22">
        <f t="shared" si="7"/>
        <v>0</v>
      </c>
      <c r="N67" s="22"/>
    </row>
    <row r="68" spans="1:14" x14ac:dyDescent="0.25">
      <c r="A68" s="4">
        <v>67</v>
      </c>
      <c r="B68" s="22" t="s">
        <v>257</v>
      </c>
      <c r="C68" s="52">
        <v>43282</v>
      </c>
      <c r="D68" s="22"/>
      <c r="E68" s="22"/>
      <c r="F68" s="22"/>
      <c r="G68" s="22"/>
      <c r="H68" s="22"/>
      <c r="I68" s="22"/>
      <c r="J68" s="22">
        <f t="shared" si="8"/>
        <v>0</v>
      </c>
      <c r="K68" s="22">
        <f t="shared" si="9"/>
        <v>0</v>
      </c>
      <c r="L68" s="22">
        <f t="shared" si="10"/>
        <v>0</v>
      </c>
      <c r="M68" s="22">
        <f t="shared" si="7"/>
        <v>0</v>
      </c>
      <c r="N68" s="22"/>
    </row>
    <row r="69" spans="1:14" x14ac:dyDescent="0.25">
      <c r="A69" s="4">
        <v>68</v>
      </c>
      <c r="B69" s="22" t="s">
        <v>258</v>
      </c>
      <c r="C69" s="52">
        <v>43282</v>
      </c>
      <c r="D69" s="22"/>
      <c r="E69" s="22"/>
      <c r="F69" s="22"/>
      <c r="G69" s="22"/>
      <c r="H69" s="22"/>
      <c r="I69" s="22"/>
      <c r="J69" s="22">
        <f t="shared" si="8"/>
        <v>0</v>
      </c>
      <c r="K69" s="22">
        <f t="shared" si="9"/>
        <v>0</v>
      </c>
      <c r="L69" s="22">
        <f t="shared" si="10"/>
        <v>0</v>
      </c>
      <c r="M69" s="22">
        <f t="shared" si="7"/>
        <v>0</v>
      </c>
      <c r="N69" s="22"/>
    </row>
    <row r="70" spans="1:14" x14ac:dyDescent="0.25">
      <c r="A70" s="4">
        <v>69</v>
      </c>
      <c r="B70" s="22" t="s">
        <v>259</v>
      </c>
      <c r="C70" s="52">
        <v>43374</v>
      </c>
      <c r="D70" s="22"/>
      <c r="E70" s="22"/>
      <c r="F70" s="22"/>
      <c r="G70" s="22"/>
      <c r="H70" s="22"/>
      <c r="I70" s="22"/>
      <c r="J70" s="22">
        <f t="shared" si="8"/>
        <v>0</v>
      </c>
      <c r="K70" s="22">
        <f t="shared" si="9"/>
        <v>0</v>
      </c>
      <c r="L70" s="22">
        <f t="shared" si="10"/>
        <v>0</v>
      </c>
      <c r="M70" s="22">
        <f t="shared" si="7"/>
        <v>0</v>
      </c>
      <c r="N70" s="22"/>
    </row>
    <row r="71" spans="1:14" x14ac:dyDescent="0.25">
      <c r="A71" s="4">
        <v>70</v>
      </c>
      <c r="B71" s="22" t="s">
        <v>260</v>
      </c>
      <c r="C71" s="52">
        <v>43405</v>
      </c>
      <c r="D71" s="22"/>
      <c r="E71" s="22"/>
      <c r="F71" s="22"/>
      <c r="G71" s="22"/>
      <c r="H71" s="22"/>
      <c r="I71" s="22"/>
      <c r="J71" s="22">
        <f t="shared" si="8"/>
        <v>0</v>
      </c>
      <c r="K71" s="22">
        <f t="shared" si="9"/>
        <v>0</v>
      </c>
      <c r="L71" s="22">
        <f t="shared" si="10"/>
        <v>0</v>
      </c>
      <c r="M71" s="22">
        <f t="shared" si="7"/>
        <v>0</v>
      </c>
      <c r="N71" s="22"/>
    </row>
    <row r="72" spans="1:14" x14ac:dyDescent="0.25">
      <c r="A72" s="4">
        <v>71</v>
      </c>
      <c r="B72" s="6" t="s">
        <v>29</v>
      </c>
      <c r="C72" s="32">
        <v>39083</v>
      </c>
      <c r="D72" s="26">
        <v>43146</v>
      </c>
      <c r="E72" s="26">
        <v>43221</v>
      </c>
      <c r="F72" s="22"/>
      <c r="G72" s="22"/>
      <c r="H72" s="22"/>
      <c r="I72" s="22"/>
      <c r="J72" s="22">
        <f t="shared" si="4"/>
        <v>75</v>
      </c>
      <c r="K72" s="22">
        <f t="shared" si="5"/>
        <v>0</v>
      </c>
      <c r="L72" s="22">
        <f t="shared" si="6"/>
        <v>0</v>
      </c>
      <c r="M72" s="22">
        <f t="shared" si="7"/>
        <v>75</v>
      </c>
      <c r="N72" s="22"/>
    </row>
    <row r="73" spans="1:14" x14ac:dyDescent="0.25">
      <c r="A73" s="4">
        <v>72</v>
      </c>
      <c r="B73" s="6" t="s">
        <v>30</v>
      </c>
      <c r="C73" s="32">
        <v>39083</v>
      </c>
      <c r="D73" s="26"/>
      <c r="E73" s="26"/>
      <c r="F73" s="22"/>
      <c r="G73" s="22"/>
      <c r="H73" s="22"/>
      <c r="I73" s="22"/>
      <c r="J73" s="22">
        <f t="shared" si="4"/>
        <v>0</v>
      </c>
      <c r="K73" s="22">
        <f t="shared" si="5"/>
        <v>0</v>
      </c>
      <c r="L73" s="22">
        <f t="shared" si="6"/>
        <v>0</v>
      </c>
      <c r="M73" s="22">
        <f t="shared" si="7"/>
        <v>0</v>
      </c>
      <c r="N73" s="22"/>
    </row>
    <row r="74" spans="1:14" x14ac:dyDescent="0.25">
      <c r="A74" s="4">
        <v>73</v>
      </c>
      <c r="B74" s="6" t="s">
        <v>31</v>
      </c>
      <c r="C74" s="32">
        <v>39083</v>
      </c>
      <c r="D74" s="26"/>
      <c r="E74" s="26"/>
      <c r="F74" s="22"/>
      <c r="G74" s="22"/>
      <c r="H74" s="22"/>
      <c r="I74" s="22"/>
      <c r="J74" s="22">
        <f t="shared" si="4"/>
        <v>0</v>
      </c>
      <c r="K74" s="22">
        <f t="shared" si="5"/>
        <v>0</v>
      </c>
      <c r="L74" s="22">
        <f t="shared" si="6"/>
        <v>0</v>
      </c>
      <c r="M74" s="22">
        <f t="shared" si="7"/>
        <v>0</v>
      </c>
      <c r="N74" s="22"/>
    </row>
    <row r="75" spans="1:14" x14ac:dyDescent="0.25">
      <c r="A75" s="4">
        <v>74</v>
      </c>
      <c r="B75" s="6" t="s">
        <v>33</v>
      </c>
      <c r="C75" s="32">
        <v>40940</v>
      </c>
      <c r="D75" s="26">
        <v>43329</v>
      </c>
      <c r="E75" s="26">
        <v>43414</v>
      </c>
      <c r="F75" s="22"/>
      <c r="G75" s="22"/>
      <c r="H75" s="22"/>
      <c r="I75" s="22"/>
      <c r="J75" s="22">
        <f t="shared" si="4"/>
        <v>85</v>
      </c>
      <c r="K75" s="22">
        <f t="shared" si="5"/>
        <v>0</v>
      </c>
      <c r="L75" s="22">
        <f t="shared" si="6"/>
        <v>0</v>
      </c>
      <c r="M75" s="22">
        <f t="shared" si="7"/>
        <v>85</v>
      </c>
      <c r="N75" s="22"/>
    </row>
    <row r="76" spans="1:14" x14ac:dyDescent="0.25">
      <c r="A76" s="4">
        <v>75</v>
      </c>
      <c r="B76" s="6" t="s">
        <v>47</v>
      </c>
      <c r="C76" s="35">
        <v>39173</v>
      </c>
      <c r="D76" s="26">
        <v>43206</v>
      </c>
      <c r="E76" s="26">
        <v>43221</v>
      </c>
      <c r="F76" s="22"/>
      <c r="G76" s="22"/>
      <c r="H76" s="22"/>
      <c r="I76" s="22"/>
      <c r="J76" s="22">
        <f t="shared" si="4"/>
        <v>15</v>
      </c>
      <c r="K76" s="22">
        <f t="shared" si="5"/>
        <v>0</v>
      </c>
      <c r="L76" s="22">
        <f t="shared" si="6"/>
        <v>0</v>
      </c>
      <c r="M76" s="22">
        <f t="shared" si="7"/>
        <v>15</v>
      </c>
      <c r="N76" s="22"/>
    </row>
    <row r="77" spans="1:14" x14ac:dyDescent="0.25">
      <c r="A77" s="4">
        <v>76</v>
      </c>
      <c r="B77" s="6" t="s">
        <v>34</v>
      </c>
      <c r="C77" s="32">
        <v>39083</v>
      </c>
      <c r="D77" s="26">
        <v>43232</v>
      </c>
      <c r="E77" s="26">
        <v>43242</v>
      </c>
      <c r="F77" s="22"/>
      <c r="G77" s="22"/>
      <c r="H77" s="22"/>
      <c r="I77" s="22"/>
      <c r="J77" s="22">
        <f t="shared" si="4"/>
        <v>10</v>
      </c>
      <c r="K77" s="22">
        <f t="shared" si="5"/>
        <v>0</v>
      </c>
      <c r="L77" s="22">
        <f t="shared" si="6"/>
        <v>0</v>
      </c>
      <c r="M77" s="22">
        <f t="shared" si="7"/>
        <v>10</v>
      </c>
      <c r="N77" s="22"/>
    </row>
    <row r="78" spans="1:14" x14ac:dyDescent="0.25">
      <c r="A78" s="4">
        <v>77</v>
      </c>
      <c r="B78" s="6" t="s">
        <v>35</v>
      </c>
      <c r="C78" s="32">
        <v>39083</v>
      </c>
      <c r="D78" s="26">
        <v>43247</v>
      </c>
      <c r="E78" s="26">
        <v>43282</v>
      </c>
      <c r="F78" s="22"/>
      <c r="G78" s="22"/>
      <c r="H78" s="22"/>
      <c r="I78" s="22"/>
      <c r="J78" s="22">
        <f t="shared" si="4"/>
        <v>35</v>
      </c>
      <c r="K78" s="22">
        <f t="shared" si="5"/>
        <v>0</v>
      </c>
      <c r="L78" s="22">
        <f t="shared" si="6"/>
        <v>0</v>
      </c>
      <c r="M78" s="22">
        <f t="shared" si="7"/>
        <v>35</v>
      </c>
      <c r="N78" s="22"/>
    </row>
    <row r="79" spans="1:14" x14ac:dyDescent="0.25">
      <c r="A79" s="4">
        <v>78</v>
      </c>
      <c r="B79" s="6" t="s">
        <v>37</v>
      </c>
      <c r="C79" s="32">
        <v>40544</v>
      </c>
      <c r="D79" s="26">
        <v>43191</v>
      </c>
      <c r="E79" s="26">
        <v>43222</v>
      </c>
      <c r="F79" s="22"/>
      <c r="G79" s="22"/>
      <c r="H79" s="22"/>
      <c r="I79" s="22"/>
      <c r="J79" s="22">
        <f t="shared" si="4"/>
        <v>31</v>
      </c>
      <c r="K79" s="22">
        <f t="shared" si="5"/>
        <v>0</v>
      </c>
      <c r="L79" s="22">
        <f t="shared" si="6"/>
        <v>0</v>
      </c>
      <c r="M79" s="22">
        <f t="shared" si="7"/>
        <v>31</v>
      </c>
      <c r="N79" s="22"/>
    </row>
    <row r="80" spans="1:14" x14ac:dyDescent="0.25">
      <c r="A80" s="4">
        <v>79</v>
      </c>
      <c r="B80" s="6" t="s">
        <v>39</v>
      </c>
      <c r="C80" s="33">
        <v>40909</v>
      </c>
      <c r="D80" s="26">
        <v>43125</v>
      </c>
      <c r="E80" s="26">
        <v>43157</v>
      </c>
      <c r="F80" s="22"/>
      <c r="G80" s="22"/>
      <c r="H80" s="22"/>
      <c r="I80" s="22"/>
      <c r="J80" s="22">
        <f t="shared" si="4"/>
        <v>32</v>
      </c>
      <c r="K80" s="22">
        <f t="shared" si="5"/>
        <v>0</v>
      </c>
      <c r="L80" s="22">
        <f t="shared" si="6"/>
        <v>0</v>
      </c>
      <c r="M80" s="22">
        <f t="shared" si="7"/>
        <v>32</v>
      </c>
      <c r="N80" s="22"/>
    </row>
    <row r="81" spans="1:14" x14ac:dyDescent="0.25">
      <c r="A81" s="4">
        <v>80</v>
      </c>
      <c r="B81" s="6" t="s">
        <v>157</v>
      </c>
      <c r="C81" s="32">
        <v>41456</v>
      </c>
      <c r="D81" s="22"/>
      <c r="E81" s="22"/>
      <c r="F81" s="22"/>
      <c r="G81" s="22"/>
      <c r="H81" s="22"/>
      <c r="I81" s="22"/>
      <c r="J81" s="22">
        <f t="shared" si="4"/>
        <v>0</v>
      </c>
      <c r="K81" s="22">
        <f t="shared" si="5"/>
        <v>0</v>
      </c>
      <c r="L81" s="22">
        <f t="shared" si="6"/>
        <v>0</v>
      </c>
      <c r="M81" s="22">
        <f t="shared" si="7"/>
        <v>0</v>
      </c>
      <c r="N81" s="22"/>
    </row>
    <row r="82" spans="1:14" x14ac:dyDescent="0.25">
      <c r="A82" s="4">
        <v>81</v>
      </c>
      <c r="B82" s="6" t="s">
        <v>245</v>
      </c>
      <c r="C82" s="32">
        <v>42979</v>
      </c>
      <c r="D82" s="22"/>
      <c r="E82" s="22"/>
      <c r="F82" s="22"/>
      <c r="G82" s="22"/>
      <c r="H82" s="22"/>
      <c r="I82" s="22"/>
      <c r="J82" s="22">
        <f t="shared" si="4"/>
        <v>0</v>
      </c>
      <c r="K82" s="22">
        <f t="shared" si="5"/>
        <v>0</v>
      </c>
      <c r="L82" s="22">
        <f t="shared" si="6"/>
        <v>0</v>
      </c>
      <c r="M82" s="22">
        <f t="shared" si="7"/>
        <v>0</v>
      </c>
      <c r="N82" s="22"/>
    </row>
    <row r="83" spans="1:14" x14ac:dyDescent="0.25">
      <c r="A83" s="4">
        <v>82</v>
      </c>
      <c r="B83" s="6" t="s">
        <v>40</v>
      </c>
      <c r="C83" s="32">
        <v>39083</v>
      </c>
      <c r="D83" s="26">
        <v>43191</v>
      </c>
      <c r="E83" s="26">
        <v>43223</v>
      </c>
      <c r="F83" s="22"/>
      <c r="G83" s="22"/>
      <c r="H83" s="22"/>
      <c r="I83" s="22"/>
      <c r="J83" s="22">
        <f t="shared" si="4"/>
        <v>32</v>
      </c>
      <c r="K83" s="22">
        <f t="shared" si="5"/>
        <v>0</v>
      </c>
      <c r="L83" s="22">
        <f t="shared" si="6"/>
        <v>0</v>
      </c>
      <c r="M83" s="22">
        <f t="shared" si="7"/>
        <v>32</v>
      </c>
      <c r="N83" s="22"/>
    </row>
    <row r="84" spans="1:14" x14ac:dyDescent="0.25">
      <c r="A84" s="4">
        <v>83</v>
      </c>
      <c r="B84" s="6" t="s">
        <v>237</v>
      </c>
      <c r="C84" s="32">
        <v>42856</v>
      </c>
      <c r="D84" s="26">
        <v>43280</v>
      </c>
      <c r="E84" s="26">
        <v>43313</v>
      </c>
      <c r="F84" s="22"/>
      <c r="G84" s="22"/>
      <c r="H84" s="22"/>
      <c r="I84" s="22"/>
      <c r="J84" s="22">
        <f t="shared" si="4"/>
        <v>33</v>
      </c>
      <c r="K84" s="22">
        <f t="shared" si="5"/>
        <v>0</v>
      </c>
      <c r="L84" s="22">
        <f t="shared" si="6"/>
        <v>0</v>
      </c>
      <c r="M84" s="22">
        <f t="shared" si="7"/>
        <v>33</v>
      </c>
      <c r="N84" s="22"/>
    </row>
    <row r="85" spans="1:14" x14ac:dyDescent="0.25">
      <c r="A85" s="4">
        <v>84</v>
      </c>
      <c r="B85" s="6" t="s">
        <v>686</v>
      </c>
      <c r="C85" s="32">
        <v>42856</v>
      </c>
      <c r="D85" s="26"/>
      <c r="E85" s="26"/>
      <c r="F85" s="22"/>
      <c r="G85" s="22"/>
      <c r="H85" s="22"/>
      <c r="I85" s="22"/>
      <c r="J85" s="22">
        <f t="shared" si="4"/>
        <v>0</v>
      </c>
      <c r="K85" s="22">
        <f t="shared" si="5"/>
        <v>0</v>
      </c>
      <c r="L85" s="22">
        <f t="shared" si="6"/>
        <v>0</v>
      </c>
      <c r="M85" s="22">
        <f t="shared" si="7"/>
        <v>0</v>
      </c>
      <c r="N85" s="22"/>
    </row>
    <row r="86" spans="1:14" x14ac:dyDescent="0.25">
      <c r="A86" s="4">
        <v>85</v>
      </c>
      <c r="B86" s="6" t="s">
        <v>48</v>
      </c>
      <c r="C86" s="35">
        <v>39173</v>
      </c>
      <c r="D86" s="26">
        <v>43363</v>
      </c>
      <c r="E86" s="26">
        <v>43374</v>
      </c>
      <c r="F86" s="22"/>
      <c r="G86" s="22"/>
      <c r="H86" s="22"/>
      <c r="I86" s="22"/>
      <c r="J86" s="22">
        <f t="shared" si="4"/>
        <v>11</v>
      </c>
      <c r="K86" s="22">
        <f t="shared" si="5"/>
        <v>0</v>
      </c>
      <c r="L86" s="22">
        <f t="shared" si="6"/>
        <v>0</v>
      </c>
      <c r="M86" s="22">
        <f t="shared" si="7"/>
        <v>11</v>
      </c>
      <c r="N86" s="22"/>
    </row>
    <row r="87" spans="1:14" x14ac:dyDescent="0.25">
      <c r="A87" s="4">
        <v>86</v>
      </c>
      <c r="B87" s="6" t="s">
        <v>184</v>
      </c>
      <c r="C87" s="32">
        <v>41548</v>
      </c>
      <c r="D87" s="26">
        <v>43375</v>
      </c>
      <c r="E87" s="26">
        <v>43438</v>
      </c>
      <c r="F87" s="22"/>
      <c r="G87" s="22"/>
      <c r="H87" s="22"/>
      <c r="I87" s="22"/>
      <c r="J87" s="22">
        <f t="shared" si="4"/>
        <v>63</v>
      </c>
      <c r="K87" s="22">
        <f t="shared" si="5"/>
        <v>0</v>
      </c>
      <c r="L87" s="22">
        <f t="shared" si="6"/>
        <v>0</v>
      </c>
      <c r="M87" s="22">
        <f t="shared" si="7"/>
        <v>63</v>
      </c>
      <c r="N87" s="22"/>
    </row>
    <row r="88" spans="1:14" x14ac:dyDescent="0.25">
      <c r="A88" s="4">
        <v>87</v>
      </c>
      <c r="B88" s="6" t="s">
        <v>185</v>
      </c>
      <c r="C88" s="32">
        <v>41609</v>
      </c>
      <c r="D88" s="22"/>
      <c r="E88" s="22"/>
      <c r="F88" s="22"/>
      <c r="G88" s="22"/>
      <c r="H88" s="22"/>
      <c r="I88" s="22"/>
      <c r="J88" s="22">
        <f t="shared" si="4"/>
        <v>0</v>
      </c>
      <c r="K88" s="22">
        <f t="shared" si="5"/>
        <v>0</v>
      </c>
      <c r="L88" s="22">
        <f t="shared" si="6"/>
        <v>0</v>
      </c>
      <c r="M88" s="22">
        <f t="shared" si="7"/>
        <v>0</v>
      </c>
      <c r="N88" s="22"/>
    </row>
    <row r="89" spans="1:14" x14ac:dyDescent="0.25">
      <c r="A89" s="4">
        <v>88</v>
      </c>
      <c r="B89" s="6" t="s">
        <v>43</v>
      </c>
      <c r="C89" s="32">
        <v>40210</v>
      </c>
      <c r="D89" s="26"/>
      <c r="E89" s="26"/>
      <c r="F89" s="22"/>
      <c r="G89" s="22"/>
      <c r="H89" s="22"/>
      <c r="I89" s="22"/>
      <c r="J89" s="22">
        <f t="shared" si="4"/>
        <v>0</v>
      </c>
      <c r="K89" s="22">
        <f t="shared" si="5"/>
        <v>0</v>
      </c>
      <c r="L89" s="22">
        <f t="shared" si="6"/>
        <v>0</v>
      </c>
      <c r="M89" s="22">
        <f t="shared" si="7"/>
        <v>0</v>
      </c>
      <c r="N89" s="22"/>
    </row>
    <row r="90" spans="1:14" x14ac:dyDescent="0.25">
      <c r="A90" s="4">
        <v>89</v>
      </c>
      <c r="B90" s="6" t="s">
        <v>44</v>
      </c>
      <c r="C90" s="32">
        <v>39083</v>
      </c>
      <c r="D90" s="26"/>
      <c r="E90" s="26"/>
      <c r="F90" s="22"/>
      <c r="G90" s="22"/>
      <c r="H90" s="22"/>
      <c r="I90" s="22"/>
      <c r="J90" s="22">
        <f t="shared" si="4"/>
        <v>0</v>
      </c>
      <c r="K90" s="22">
        <f t="shared" si="5"/>
        <v>0</v>
      </c>
      <c r="L90" s="22">
        <f t="shared" si="6"/>
        <v>0</v>
      </c>
      <c r="M90" s="22">
        <f t="shared" si="7"/>
        <v>0</v>
      </c>
      <c r="N90" s="22"/>
    </row>
    <row r="91" spans="1:14" x14ac:dyDescent="0.25">
      <c r="A91" s="4">
        <v>90</v>
      </c>
      <c r="B91" s="6" t="s">
        <v>46</v>
      </c>
      <c r="C91" s="32">
        <v>39083</v>
      </c>
      <c r="D91" s="22"/>
      <c r="E91" s="22"/>
      <c r="F91" s="22"/>
      <c r="G91" s="22"/>
      <c r="H91" s="22"/>
      <c r="I91" s="22"/>
      <c r="J91" s="22">
        <f t="shared" si="4"/>
        <v>0</v>
      </c>
      <c r="K91" s="22">
        <f t="shared" si="5"/>
        <v>0</v>
      </c>
      <c r="L91" s="22">
        <f t="shared" si="6"/>
        <v>0</v>
      </c>
      <c r="M91" s="22">
        <f t="shared" si="7"/>
        <v>0</v>
      </c>
      <c r="N91" s="22"/>
    </row>
    <row r="92" spans="1:14" x14ac:dyDescent="0.25">
      <c r="A92" s="4">
        <v>91</v>
      </c>
      <c r="B92" s="6" t="s">
        <v>49</v>
      </c>
      <c r="C92" s="32">
        <v>39326</v>
      </c>
      <c r="D92" s="22"/>
      <c r="E92" s="22"/>
      <c r="F92" s="22"/>
      <c r="G92" s="22"/>
      <c r="H92" s="22"/>
      <c r="I92" s="22"/>
      <c r="J92" s="22">
        <f t="shared" si="4"/>
        <v>0</v>
      </c>
      <c r="K92" s="22">
        <f t="shared" si="5"/>
        <v>0</v>
      </c>
      <c r="L92" s="22">
        <f t="shared" si="6"/>
        <v>0</v>
      </c>
      <c r="M92" s="22">
        <f t="shared" si="7"/>
        <v>0</v>
      </c>
      <c r="N92" s="22"/>
    </row>
    <row r="93" spans="1:14" x14ac:dyDescent="0.25">
      <c r="A93" s="4">
        <v>92</v>
      </c>
      <c r="B93" s="6" t="s">
        <v>51</v>
      </c>
      <c r="C93" s="32">
        <v>39783</v>
      </c>
      <c r="D93" s="26"/>
      <c r="E93" s="26"/>
      <c r="F93" s="22"/>
      <c r="G93" s="22"/>
      <c r="H93" s="22"/>
      <c r="I93" s="22"/>
      <c r="J93" s="22">
        <f t="shared" si="4"/>
        <v>0</v>
      </c>
      <c r="K93" s="22">
        <f t="shared" si="5"/>
        <v>0</v>
      </c>
      <c r="L93" s="22">
        <f t="shared" si="6"/>
        <v>0</v>
      </c>
      <c r="M93" s="22">
        <f t="shared" si="7"/>
        <v>0</v>
      </c>
      <c r="N93" s="22"/>
    </row>
    <row r="94" spans="1:14" x14ac:dyDescent="0.25">
      <c r="A94" s="4">
        <v>93</v>
      </c>
      <c r="B94" s="6" t="s">
        <v>52</v>
      </c>
      <c r="C94" s="32">
        <v>40544</v>
      </c>
      <c r="D94" s="26">
        <v>43344</v>
      </c>
      <c r="E94" s="26">
        <v>43434</v>
      </c>
      <c r="F94" s="22"/>
      <c r="G94" s="22"/>
      <c r="H94" s="22"/>
      <c r="I94" s="22"/>
      <c r="J94" s="22">
        <f t="shared" si="4"/>
        <v>90</v>
      </c>
      <c r="K94" s="22">
        <f t="shared" si="5"/>
        <v>0</v>
      </c>
      <c r="L94" s="22">
        <f t="shared" si="6"/>
        <v>0</v>
      </c>
      <c r="M94" s="22">
        <f t="shared" si="7"/>
        <v>90</v>
      </c>
      <c r="N94" s="22"/>
    </row>
    <row r="95" spans="1:14" x14ac:dyDescent="0.25">
      <c r="A95" s="4">
        <v>94</v>
      </c>
      <c r="B95" s="6" t="s">
        <v>53</v>
      </c>
      <c r="C95" s="32">
        <v>40664</v>
      </c>
      <c r="D95" s="26"/>
      <c r="E95" s="26"/>
      <c r="F95" s="22"/>
      <c r="G95" s="22"/>
      <c r="H95" s="22"/>
      <c r="I95" s="22"/>
      <c r="J95" s="22">
        <f t="shared" si="4"/>
        <v>0</v>
      </c>
      <c r="K95" s="22">
        <f t="shared" si="5"/>
        <v>0</v>
      </c>
      <c r="L95" s="22">
        <f t="shared" si="6"/>
        <v>0</v>
      </c>
      <c r="M95" s="22">
        <f t="shared" si="7"/>
        <v>0</v>
      </c>
      <c r="N95" s="22"/>
    </row>
    <row r="96" spans="1:14" x14ac:dyDescent="0.25">
      <c r="A96" s="4">
        <v>95</v>
      </c>
      <c r="B96" s="6" t="s">
        <v>54</v>
      </c>
      <c r="C96" s="32">
        <v>40695</v>
      </c>
      <c r="D96" s="22"/>
      <c r="E96" s="22"/>
      <c r="F96" s="22"/>
      <c r="G96" s="22"/>
      <c r="H96" s="22"/>
      <c r="I96" s="22"/>
      <c r="J96" s="22">
        <f t="shared" si="4"/>
        <v>0</v>
      </c>
      <c r="K96" s="22">
        <f t="shared" si="5"/>
        <v>0</v>
      </c>
      <c r="L96" s="22">
        <f t="shared" si="6"/>
        <v>0</v>
      </c>
      <c r="M96" s="22">
        <f t="shared" si="7"/>
        <v>0</v>
      </c>
      <c r="N96" s="22"/>
    </row>
    <row r="97" spans="1:14" x14ac:dyDescent="0.25">
      <c r="A97" s="4">
        <v>96</v>
      </c>
      <c r="B97" s="6" t="s">
        <v>55</v>
      </c>
      <c r="C97" s="32">
        <v>40848</v>
      </c>
      <c r="D97" s="22"/>
      <c r="E97" s="22"/>
      <c r="F97" s="22"/>
      <c r="G97" s="22"/>
      <c r="H97" s="22"/>
      <c r="I97" s="22"/>
      <c r="J97" s="22">
        <f t="shared" si="4"/>
        <v>0</v>
      </c>
      <c r="K97" s="22">
        <f t="shared" si="5"/>
        <v>0</v>
      </c>
      <c r="L97" s="22">
        <f t="shared" si="6"/>
        <v>0</v>
      </c>
      <c r="M97" s="22">
        <f t="shared" si="7"/>
        <v>0</v>
      </c>
      <c r="N97" s="22"/>
    </row>
    <row r="98" spans="1:14" x14ac:dyDescent="0.25">
      <c r="A98" s="4">
        <v>97</v>
      </c>
      <c r="B98" s="6" t="s">
        <v>186</v>
      </c>
      <c r="C98" s="32">
        <v>41791</v>
      </c>
      <c r="D98" s="26">
        <v>43218</v>
      </c>
      <c r="E98" s="26">
        <v>43257</v>
      </c>
      <c r="F98" s="22"/>
      <c r="G98" s="22"/>
      <c r="H98" s="22"/>
      <c r="I98" s="22"/>
      <c r="J98" s="22">
        <f t="shared" si="4"/>
        <v>39</v>
      </c>
      <c r="K98" s="22">
        <f t="shared" si="5"/>
        <v>0</v>
      </c>
      <c r="L98" s="22">
        <f t="shared" si="6"/>
        <v>0</v>
      </c>
      <c r="M98" s="22">
        <f t="shared" si="7"/>
        <v>39</v>
      </c>
      <c r="N98" s="22"/>
    </row>
    <row r="99" spans="1:14" x14ac:dyDescent="0.25">
      <c r="A99" s="4">
        <v>98</v>
      </c>
      <c r="B99" s="6" t="s">
        <v>188</v>
      </c>
      <c r="C99" s="32">
        <v>41852</v>
      </c>
      <c r="D99" s="26"/>
      <c r="E99" s="26"/>
      <c r="F99" s="22"/>
      <c r="G99" s="22"/>
      <c r="H99" s="22"/>
      <c r="I99" s="22"/>
      <c r="J99" s="22">
        <f t="shared" si="4"/>
        <v>0</v>
      </c>
      <c r="K99" s="22">
        <f t="shared" si="5"/>
        <v>0</v>
      </c>
      <c r="L99" s="22">
        <f t="shared" si="6"/>
        <v>0</v>
      </c>
      <c r="M99" s="22">
        <f t="shared" si="7"/>
        <v>0</v>
      </c>
      <c r="N99" s="22"/>
    </row>
    <row r="100" spans="1:14" x14ac:dyDescent="0.25">
      <c r="A100" s="4">
        <v>99</v>
      </c>
      <c r="B100" s="6" t="s">
        <v>203</v>
      </c>
      <c r="C100" s="32">
        <v>42156</v>
      </c>
      <c r="D100" s="26"/>
      <c r="E100" s="26"/>
      <c r="F100" s="22"/>
      <c r="G100" s="22"/>
      <c r="H100" s="22"/>
      <c r="I100" s="22"/>
      <c r="J100" s="22">
        <f t="shared" si="4"/>
        <v>0</v>
      </c>
      <c r="K100" s="22">
        <f t="shared" si="5"/>
        <v>0</v>
      </c>
      <c r="L100" s="22">
        <f t="shared" si="6"/>
        <v>0</v>
      </c>
      <c r="M100" s="22">
        <f t="shared" si="7"/>
        <v>0</v>
      </c>
      <c r="N100" s="22"/>
    </row>
    <row r="101" spans="1:14" x14ac:dyDescent="0.25">
      <c r="A101" s="4">
        <v>100</v>
      </c>
      <c r="B101" s="6" t="s">
        <v>204</v>
      </c>
      <c r="C101" s="32">
        <v>42140</v>
      </c>
      <c r="D101" s="22"/>
      <c r="E101" s="22"/>
      <c r="F101" s="22"/>
      <c r="G101" s="22"/>
      <c r="H101" s="22"/>
      <c r="I101" s="22"/>
      <c r="J101" s="22">
        <f t="shared" si="4"/>
        <v>0</v>
      </c>
      <c r="K101" s="22">
        <f t="shared" si="5"/>
        <v>0</v>
      </c>
      <c r="L101" s="22">
        <f t="shared" si="6"/>
        <v>0</v>
      </c>
      <c r="M101" s="22">
        <f t="shared" si="7"/>
        <v>0</v>
      </c>
      <c r="N101" s="22"/>
    </row>
    <row r="102" spans="1:14" x14ac:dyDescent="0.25">
      <c r="A102" s="4">
        <v>101</v>
      </c>
      <c r="B102" s="6" t="s">
        <v>220</v>
      </c>
      <c r="C102" s="55">
        <v>42461</v>
      </c>
      <c r="D102" s="26">
        <v>43316</v>
      </c>
      <c r="E102" s="26">
        <v>43414</v>
      </c>
      <c r="F102" s="22"/>
      <c r="G102" s="22"/>
      <c r="H102" s="22"/>
      <c r="I102" s="22"/>
      <c r="J102" s="22">
        <f t="shared" si="4"/>
        <v>98</v>
      </c>
      <c r="K102" s="22">
        <f t="shared" si="5"/>
        <v>0</v>
      </c>
      <c r="L102" s="22">
        <f t="shared" si="6"/>
        <v>0</v>
      </c>
      <c r="M102" s="22">
        <f t="shared" si="7"/>
        <v>98</v>
      </c>
      <c r="N102" s="22"/>
    </row>
    <row r="103" spans="1:14" x14ac:dyDescent="0.25">
      <c r="A103" s="4">
        <v>102</v>
      </c>
      <c r="B103" s="6" t="s">
        <v>248</v>
      </c>
      <c r="C103" s="55">
        <v>43040</v>
      </c>
      <c r="D103" s="22"/>
      <c r="E103" s="22"/>
      <c r="F103" s="22"/>
      <c r="G103" s="22"/>
      <c r="H103" s="22"/>
      <c r="I103" s="22"/>
      <c r="J103" s="22">
        <f t="shared" si="4"/>
        <v>0</v>
      </c>
      <c r="K103" s="22">
        <f t="shared" si="5"/>
        <v>0</v>
      </c>
      <c r="L103" s="22">
        <f t="shared" si="6"/>
        <v>0</v>
      </c>
      <c r="M103" s="22">
        <f t="shared" si="7"/>
        <v>0</v>
      </c>
      <c r="N103" s="22"/>
    </row>
    <row r="104" spans="1:14" x14ac:dyDescent="0.25">
      <c r="A104" s="4">
        <v>103</v>
      </c>
      <c r="B104" s="6" t="s">
        <v>249</v>
      </c>
      <c r="C104" s="55">
        <v>43040</v>
      </c>
      <c r="D104" s="26">
        <v>43274</v>
      </c>
      <c r="E104" s="26">
        <v>43290</v>
      </c>
      <c r="F104" s="22"/>
      <c r="G104" s="22"/>
      <c r="H104" s="22"/>
      <c r="I104" s="22"/>
      <c r="J104" s="22">
        <f t="shared" si="4"/>
        <v>16</v>
      </c>
      <c r="K104" s="22">
        <f t="shared" si="5"/>
        <v>0</v>
      </c>
      <c r="L104" s="22">
        <f t="shared" si="6"/>
        <v>0</v>
      </c>
      <c r="M104" s="22">
        <f t="shared" si="7"/>
        <v>16</v>
      </c>
      <c r="N104" s="22"/>
    </row>
    <row r="109" spans="1:14" x14ac:dyDescent="0.25">
      <c r="A109" s="4">
        <v>20</v>
      </c>
      <c r="B109" s="6" t="s">
        <v>135</v>
      </c>
      <c r="C109" s="52">
        <v>41183</v>
      </c>
      <c r="D109" s="26">
        <v>43148</v>
      </c>
      <c r="E109" s="26">
        <v>43281</v>
      </c>
      <c r="F109" s="26"/>
      <c r="G109" s="26"/>
      <c r="H109" s="22"/>
      <c r="I109" s="22"/>
      <c r="J109" s="22">
        <f>E109-D109</f>
        <v>133</v>
      </c>
      <c r="K109" s="22">
        <f>G109-F109</f>
        <v>0</v>
      </c>
      <c r="L109" s="22">
        <f>I109-H109</f>
        <v>0</v>
      </c>
      <c r="M109" s="22">
        <f>J109+K109+L109</f>
        <v>133</v>
      </c>
      <c r="N109" s="22" t="s">
        <v>255</v>
      </c>
    </row>
    <row r="110" spans="1:14" x14ac:dyDescent="0.25">
      <c r="A110" s="4">
        <v>35</v>
      </c>
      <c r="B110" s="6" t="s">
        <v>195</v>
      </c>
      <c r="C110" s="44">
        <v>42005</v>
      </c>
      <c r="D110" s="26">
        <v>43302</v>
      </c>
      <c r="E110" s="26">
        <v>43366</v>
      </c>
      <c r="F110" s="22"/>
      <c r="G110" s="22"/>
      <c r="H110" s="22"/>
      <c r="I110" s="22"/>
      <c r="J110" s="22">
        <f>E110-D110</f>
        <v>64</v>
      </c>
      <c r="K110" s="22">
        <f>G110-F110</f>
        <v>0</v>
      </c>
      <c r="L110" s="22">
        <f>I110-H110</f>
        <v>0</v>
      </c>
      <c r="M110" s="22">
        <f>J110+K110+L110</f>
        <v>64</v>
      </c>
      <c r="N110" s="22"/>
    </row>
    <row r="111" spans="1:14" x14ac:dyDescent="0.25">
      <c r="A111" s="4">
        <v>48</v>
      </c>
      <c r="B111" s="6" t="s">
        <v>224</v>
      </c>
      <c r="C111" s="52">
        <v>42522</v>
      </c>
      <c r="D111" s="26">
        <v>43101</v>
      </c>
      <c r="E111" s="26">
        <v>43127</v>
      </c>
      <c r="F111" s="26"/>
      <c r="G111" s="26"/>
      <c r="H111" s="22"/>
      <c r="I111" s="22"/>
      <c r="J111" s="22">
        <f>E111-D111</f>
        <v>26</v>
      </c>
      <c r="K111" s="22">
        <f>G111-F111</f>
        <v>0</v>
      </c>
      <c r="L111" s="22">
        <f>I111-H111</f>
        <v>0</v>
      </c>
      <c r="M111" s="22">
        <f>J111+K111+L111</f>
        <v>26</v>
      </c>
      <c r="N111" s="22" t="s">
        <v>255</v>
      </c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N102"/>
  <sheetViews>
    <sheetView topLeftCell="A72" workbookViewId="0">
      <selection activeCell="B83" sqref="B83"/>
    </sheetView>
  </sheetViews>
  <sheetFormatPr defaultRowHeight="15" x14ac:dyDescent="0.25"/>
  <cols>
    <col min="1" max="1" width="5.42578125" bestFit="1" customWidth="1"/>
    <col min="2" max="2" width="36.42578125" bestFit="1" customWidth="1"/>
    <col min="3" max="3" width="12.28515625" bestFit="1" customWidth="1"/>
    <col min="4" max="9" width="10.7109375" bestFit="1" customWidth="1"/>
    <col min="14" max="14" width="12.85546875" bestFit="1" customWidth="1"/>
  </cols>
  <sheetData>
    <row r="3" spans="1:14" x14ac:dyDescent="0.25">
      <c r="A3" s="3" t="s">
        <v>130</v>
      </c>
      <c r="B3" s="9" t="s">
        <v>126</v>
      </c>
      <c r="C3" s="9" t="s">
        <v>131</v>
      </c>
      <c r="D3" s="150" t="s">
        <v>127</v>
      </c>
      <c r="E3" s="150"/>
      <c r="F3" s="150" t="s">
        <v>128</v>
      </c>
      <c r="G3" s="150"/>
      <c r="H3" s="150" t="s">
        <v>215</v>
      </c>
      <c r="I3" s="150"/>
      <c r="J3" s="22">
        <v>1</v>
      </c>
      <c r="K3" s="22">
        <v>2</v>
      </c>
      <c r="L3" s="22">
        <v>3</v>
      </c>
      <c r="M3" s="22" t="s">
        <v>72</v>
      </c>
      <c r="N3" s="51" t="s">
        <v>217</v>
      </c>
    </row>
    <row r="4" spans="1:14" x14ac:dyDescent="0.25">
      <c r="A4" s="4">
        <v>1</v>
      </c>
      <c r="B4" s="6" t="s">
        <v>1</v>
      </c>
      <c r="C4" s="32">
        <v>39295</v>
      </c>
      <c r="D4" s="26">
        <v>42952</v>
      </c>
      <c r="E4" s="26">
        <v>42964</v>
      </c>
      <c r="F4" s="22"/>
      <c r="G4" s="22"/>
      <c r="H4" s="22"/>
      <c r="I4" s="22"/>
      <c r="J4" s="22">
        <f t="shared" ref="J4:J9" si="0">E4-D4</f>
        <v>12</v>
      </c>
      <c r="K4" s="22">
        <f t="shared" ref="K4:K9" si="1">G4-F4</f>
        <v>0</v>
      </c>
      <c r="L4" s="22">
        <f t="shared" ref="L4:L9" si="2">I4-H4</f>
        <v>0</v>
      </c>
      <c r="M4" s="22">
        <f t="shared" ref="M4:M9" si="3">J4+K4+L4</f>
        <v>12</v>
      </c>
      <c r="N4" s="22"/>
    </row>
    <row r="5" spans="1:14" x14ac:dyDescent="0.25">
      <c r="A5" s="4">
        <v>2</v>
      </c>
      <c r="B5" s="6" t="s">
        <v>192</v>
      </c>
      <c r="C5" s="32">
        <v>42036</v>
      </c>
      <c r="D5" s="26">
        <v>42981</v>
      </c>
      <c r="E5" s="26">
        <v>42996</v>
      </c>
      <c r="F5" s="22"/>
      <c r="G5" s="22"/>
      <c r="H5" s="22"/>
      <c r="I5" s="22"/>
      <c r="J5" s="22">
        <f t="shared" si="0"/>
        <v>15</v>
      </c>
      <c r="K5" s="22">
        <f t="shared" si="1"/>
        <v>0</v>
      </c>
      <c r="L5" s="22">
        <f t="shared" si="2"/>
        <v>0</v>
      </c>
      <c r="M5" s="22">
        <f t="shared" si="3"/>
        <v>15</v>
      </c>
      <c r="N5" s="22"/>
    </row>
    <row r="6" spans="1:14" x14ac:dyDescent="0.25">
      <c r="A6" s="4">
        <v>3</v>
      </c>
      <c r="B6" s="6" t="s">
        <v>179</v>
      </c>
      <c r="C6" s="32">
        <v>41883</v>
      </c>
      <c r="D6" s="26">
        <v>42762</v>
      </c>
      <c r="E6" s="26">
        <v>42790</v>
      </c>
      <c r="F6" s="22"/>
      <c r="G6" s="22"/>
      <c r="H6" s="22"/>
      <c r="I6" s="22"/>
      <c r="J6" s="22">
        <f t="shared" si="0"/>
        <v>28</v>
      </c>
      <c r="K6" s="22">
        <f t="shared" si="1"/>
        <v>0</v>
      </c>
      <c r="L6" s="22">
        <f t="shared" si="2"/>
        <v>0</v>
      </c>
      <c r="M6" s="22">
        <f t="shared" si="3"/>
        <v>28</v>
      </c>
      <c r="N6" s="22"/>
    </row>
    <row r="7" spans="1:14" x14ac:dyDescent="0.25">
      <c r="A7" s="4">
        <v>4</v>
      </c>
      <c r="B7" s="5" t="s">
        <v>180</v>
      </c>
      <c r="C7" s="32">
        <v>41883</v>
      </c>
      <c r="D7" s="26">
        <v>42987</v>
      </c>
      <c r="E7" s="26">
        <v>43039</v>
      </c>
      <c r="F7" s="22"/>
      <c r="G7" s="22"/>
      <c r="H7" s="22"/>
      <c r="I7" s="22"/>
      <c r="J7" s="22">
        <f t="shared" si="0"/>
        <v>52</v>
      </c>
      <c r="K7" s="22">
        <f t="shared" si="1"/>
        <v>0</v>
      </c>
      <c r="L7" s="22">
        <f t="shared" si="2"/>
        <v>0</v>
      </c>
      <c r="M7" s="22">
        <f t="shared" si="3"/>
        <v>52</v>
      </c>
      <c r="N7" s="22"/>
    </row>
    <row r="8" spans="1:14" x14ac:dyDescent="0.25">
      <c r="A8" s="4">
        <v>5</v>
      </c>
      <c r="B8" s="5" t="s">
        <v>193</v>
      </c>
      <c r="C8" s="32">
        <v>42036</v>
      </c>
      <c r="D8" s="26">
        <v>42818</v>
      </c>
      <c r="E8" s="26">
        <v>42859</v>
      </c>
      <c r="F8" s="22"/>
      <c r="G8" s="22"/>
      <c r="H8" s="22"/>
      <c r="I8" s="22"/>
      <c r="J8" s="22">
        <f t="shared" si="0"/>
        <v>41</v>
      </c>
      <c r="K8" s="22">
        <f t="shared" si="1"/>
        <v>0</v>
      </c>
      <c r="L8" s="22">
        <f t="shared" si="2"/>
        <v>0</v>
      </c>
      <c r="M8" s="22">
        <f t="shared" si="3"/>
        <v>41</v>
      </c>
      <c r="N8" s="22"/>
    </row>
    <row r="9" spans="1:14" x14ac:dyDescent="0.25">
      <c r="A9" s="4">
        <v>6</v>
      </c>
      <c r="B9" s="5" t="s">
        <v>42</v>
      </c>
      <c r="C9" s="32">
        <v>42186</v>
      </c>
      <c r="D9" s="26">
        <v>43038</v>
      </c>
      <c r="E9" s="26">
        <v>43099</v>
      </c>
      <c r="F9" s="22"/>
      <c r="G9" s="22"/>
      <c r="H9" s="22"/>
      <c r="I9" s="22"/>
      <c r="J9" s="22">
        <f t="shared" si="0"/>
        <v>61</v>
      </c>
      <c r="K9" s="22">
        <f t="shared" si="1"/>
        <v>0</v>
      </c>
      <c r="L9" s="22">
        <f t="shared" si="2"/>
        <v>0</v>
      </c>
      <c r="M9" s="22">
        <f t="shared" si="3"/>
        <v>61</v>
      </c>
      <c r="N9" s="22"/>
    </row>
    <row r="10" spans="1:14" x14ac:dyDescent="0.25">
      <c r="A10" s="4">
        <v>7</v>
      </c>
      <c r="B10" s="5" t="s">
        <v>231</v>
      </c>
      <c r="C10" s="32">
        <v>42736</v>
      </c>
      <c r="D10" s="22"/>
      <c r="E10" s="22"/>
      <c r="F10" s="22"/>
      <c r="G10" s="22"/>
      <c r="H10" s="22"/>
      <c r="I10" s="22"/>
      <c r="J10" s="22">
        <f t="shared" ref="J10:J78" si="4">E10-D10</f>
        <v>0</v>
      </c>
      <c r="K10" s="22">
        <f t="shared" ref="K10:K78" si="5">G10-F10</f>
        <v>0</v>
      </c>
      <c r="L10" s="22">
        <f t="shared" ref="L10:L78" si="6">I10-H10</f>
        <v>0</v>
      </c>
      <c r="M10" s="22">
        <f t="shared" ref="M10:M78" si="7">J10+K10+L10</f>
        <v>0</v>
      </c>
      <c r="N10" s="22"/>
    </row>
    <row r="11" spans="1:14" x14ac:dyDescent="0.25">
      <c r="A11" s="4">
        <v>8</v>
      </c>
      <c r="B11" s="6" t="s">
        <v>5</v>
      </c>
      <c r="C11" s="32">
        <v>40695</v>
      </c>
      <c r="D11" s="26">
        <v>43073</v>
      </c>
      <c r="E11" s="26">
        <v>43100</v>
      </c>
      <c r="F11" s="22"/>
      <c r="G11" s="22"/>
      <c r="H11" s="22"/>
      <c r="I11" s="22"/>
      <c r="J11" s="22">
        <f t="shared" si="4"/>
        <v>27</v>
      </c>
      <c r="K11" s="22">
        <f t="shared" si="5"/>
        <v>0</v>
      </c>
      <c r="L11" s="22">
        <f t="shared" si="6"/>
        <v>0</v>
      </c>
      <c r="M11" s="22">
        <f t="shared" si="7"/>
        <v>27</v>
      </c>
      <c r="N11" s="22"/>
    </row>
    <row r="12" spans="1:14" x14ac:dyDescent="0.25">
      <c r="A12" s="4">
        <v>9</v>
      </c>
      <c r="B12" s="2" t="s">
        <v>6</v>
      </c>
      <c r="C12" s="32">
        <v>39083</v>
      </c>
      <c r="D12" s="26">
        <v>42795</v>
      </c>
      <c r="E12" s="26">
        <v>42800</v>
      </c>
      <c r="F12" s="26">
        <v>42948</v>
      </c>
      <c r="G12" s="26">
        <v>42950</v>
      </c>
      <c r="H12" s="26">
        <v>43018</v>
      </c>
      <c r="I12" s="26">
        <v>43021</v>
      </c>
      <c r="J12" s="22">
        <f t="shared" si="4"/>
        <v>5</v>
      </c>
      <c r="K12" s="22">
        <f t="shared" si="5"/>
        <v>2</v>
      </c>
      <c r="L12" s="22">
        <f t="shared" si="6"/>
        <v>3</v>
      </c>
      <c r="M12" s="22">
        <f t="shared" si="7"/>
        <v>10</v>
      </c>
      <c r="N12" s="22"/>
    </row>
    <row r="13" spans="1:14" x14ac:dyDescent="0.25">
      <c r="A13" s="4">
        <v>10</v>
      </c>
      <c r="B13" s="5" t="s">
        <v>9</v>
      </c>
      <c r="C13" s="32">
        <v>39083</v>
      </c>
      <c r="D13" s="22"/>
      <c r="E13" s="22"/>
      <c r="F13" s="22"/>
      <c r="G13" s="22"/>
      <c r="H13" s="22"/>
      <c r="I13" s="22"/>
      <c r="J13" s="22">
        <f t="shared" si="4"/>
        <v>0</v>
      </c>
      <c r="K13" s="22">
        <f t="shared" si="5"/>
        <v>0</v>
      </c>
      <c r="L13" s="22">
        <f t="shared" si="6"/>
        <v>0</v>
      </c>
      <c r="M13" s="22">
        <f t="shared" si="7"/>
        <v>0</v>
      </c>
      <c r="N13" s="22"/>
    </row>
    <row r="14" spans="1:14" x14ac:dyDescent="0.25">
      <c r="A14" s="4">
        <v>11</v>
      </c>
      <c r="B14" s="5" t="s">
        <v>194</v>
      </c>
      <c r="C14" s="32">
        <v>42217</v>
      </c>
      <c r="D14" s="26">
        <v>43069</v>
      </c>
      <c r="E14" s="26">
        <v>43100</v>
      </c>
      <c r="F14" s="22"/>
      <c r="G14" s="22"/>
      <c r="H14" s="22"/>
      <c r="I14" s="22"/>
      <c r="J14" s="22">
        <f t="shared" si="4"/>
        <v>31</v>
      </c>
      <c r="K14" s="22">
        <f t="shared" si="5"/>
        <v>0</v>
      </c>
      <c r="L14" s="22">
        <f t="shared" si="6"/>
        <v>0</v>
      </c>
      <c r="M14" s="22">
        <f t="shared" si="7"/>
        <v>31</v>
      </c>
      <c r="N14" s="22" t="s">
        <v>246</v>
      </c>
    </row>
    <row r="15" spans="1:14" x14ac:dyDescent="0.25">
      <c r="A15" s="4">
        <v>12</v>
      </c>
      <c r="B15" s="7" t="s">
        <v>10</v>
      </c>
      <c r="C15" s="32">
        <v>39083</v>
      </c>
      <c r="D15" s="26">
        <v>42917</v>
      </c>
      <c r="E15" s="26">
        <v>42921</v>
      </c>
      <c r="F15" s="26">
        <v>43062</v>
      </c>
      <c r="G15" s="26">
        <v>43076</v>
      </c>
      <c r="H15" s="22"/>
      <c r="I15" s="22"/>
      <c r="J15" s="22">
        <f t="shared" si="4"/>
        <v>4</v>
      </c>
      <c r="K15" s="22">
        <f t="shared" si="5"/>
        <v>14</v>
      </c>
      <c r="L15" s="22">
        <f t="shared" si="6"/>
        <v>0</v>
      </c>
      <c r="M15" s="22">
        <f t="shared" si="7"/>
        <v>18</v>
      </c>
      <c r="N15" s="22"/>
    </row>
    <row r="16" spans="1:14" x14ac:dyDescent="0.25">
      <c r="A16" s="4">
        <v>13</v>
      </c>
      <c r="B16" s="6" t="s">
        <v>11</v>
      </c>
      <c r="C16" s="32">
        <v>39083</v>
      </c>
      <c r="D16" s="26">
        <v>42856</v>
      </c>
      <c r="E16" s="26">
        <v>42866</v>
      </c>
      <c r="F16" s="26">
        <v>42927</v>
      </c>
      <c r="G16" s="26">
        <v>42937</v>
      </c>
      <c r="H16" s="22"/>
      <c r="I16" s="22"/>
      <c r="J16" s="22">
        <f t="shared" si="4"/>
        <v>10</v>
      </c>
      <c r="K16" s="22">
        <f t="shared" si="5"/>
        <v>10</v>
      </c>
      <c r="L16" s="22">
        <f t="shared" si="6"/>
        <v>0</v>
      </c>
      <c r="M16" s="22">
        <f t="shared" si="7"/>
        <v>20</v>
      </c>
      <c r="N16" s="22"/>
    </row>
    <row r="17" spans="1:14" x14ac:dyDescent="0.25">
      <c r="A17" s="4">
        <v>14</v>
      </c>
      <c r="B17" s="1" t="s">
        <v>12</v>
      </c>
      <c r="C17" s="32">
        <v>39142</v>
      </c>
      <c r="D17" s="26">
        <v>42736</v>
      </c>
      <c r="E17" s="26">
        <v>42743</v>
      </c>
      <c r="F17" s="22"/>
      <c r="G17" s="22"/>
      <c r="H17" s="22"/>
      <c r="I17" s="22"/>
      <c r="J17" s="22">
        <f t="shared" si="4"/>
        <v>7</v>
      </c>
      <c r="K17" s="22">
        <f t="shared" si="5"/>
        <v>0</v>
      </c>
      <c r="L17" s="22">
        <f t="shared" si="6"/>
        <v>0</v>
      </c>
      <c r="M17" s="22">
        <f t="shared" si="7"/>
        <v>7</v>
      </c>
      <c r="N17" s="22"/>
    </row>
    <row r="18" spans="1:14" x14ac:dyDescent="0.25">
      <c r="A18" s="4">
        <v>15</v>
      </c>
      <c r="B18" s="1" t="s">
        <v>13</v>
      </c>
      <c r="C18" s="32">
        <v>39083</v>
      </c>
      <c r="D18" s="26">
        <v>43068</v>
      </c>
      <c r="E18" s="26">
        <v>43099</v>
      </c>
      <c r="F18" s="22"/>
      <c r="G18" s="22"/>
      <c r="H18" s="22"/>
      <c r="I18" s="22"/>
      <c r="J18" s="22">
        <f t="shared" si="4"/>
        <v>31</v>
      </c>
      <c r="K18" s="22">
        <f t="shared" si="5"/>
        <v>0</v>
      </c>
      <c r="L18" s="22">
        <f t="shared" si="6"/>
        <v>0</v>
      </c>
      <c r="M18" s="22">
        <f t="shared" si="7"/>
        <v>31</v>
      </c>
      <c r="N18" s="22"/>
    </row>
    <row r="19" spans="1:14" x14ac:dyDescent="0.25">
      <c r="A19" s="4">
        <v>16</v>
      </c>
      <c r="B19" s="1" t="s">
        <v>145</v>
      </c>
      <c r="C19" s="45">
        <v>41334</v>
      </c>
      <c r="D19" s="26">
        <v>42963</v>
      </c>
      <c r="E19" s="26">
        <v>42993</v>
      </c>
      <c r="F19" s="22"/>
      <c r="G19" s="22"/>
      <c r="H19" s="22"/>
      <c r="I19" s="22"/>
      <c r="J19" s="22">
        <f t="shared" si="4"/>
        <v>30</v>
      </c>
      <c r="K19" s="22">
        <f t="shared" si="5"/>
        <v>0</v>
      </c>
      <c r="L19" s="22">
        <f t="shared" si="6"/>
        <v>0</v>
      </c>
      <c r="M19" s="22">
        <f t="shared" si="7"/>
        <v>30</v>
      </c>
      <c r="N19" s="22"/>
    </row>
    <row r="20" spans="1:14" x14ac:dyDescent="0.25">
      <c r="A20" s="4">
        <v>17</v>
      </c>
      <c r="B20" s="5" t="s">
        <v>16</v>
      </c>
      <c r="C20" s="32">
        <v>40210</v>
      </c>
      <c r="D20" s="26">
        <v>42944</v>
      </c>
      <c r="E20" s="26">
        <v>42958</v>
      </c>
      <c r="F20" s="22"/>
      <c r="G20" s="22"/>
      <c r="H20" s="22"/>
      <c r="I20" s="22"/>
      <c r="J20" s="22">
        <f t="shared" si="4"/>
        <v>14</v>
      </c>
      <c r="K20" s="22">
        <f t="shared" si="5"/>
        <v>0</v>
      </c>
      <c r="L20" s="22">
        <f t="shared" si="6"/>
        <v>0</v>
      </c>
      <c r="M20" s="22">
        <f t="shared" si="7"/>
        <v>14</v>
      </c>
      <c r="N20" s="22"/>
    </row>
    <row r="21" spans="1:14" x14ac:dyDescent="0.25">
      <c r="A21" s="4">
        <v>18</v>
      </c>
      <c r="B21" s="6" t="s">
        <v>21</v>
      </c>
      <c r="C21" s="34">
        <v>40483</v>
      </c>
      <c r="D21" s="26">
        <v>42994</v>
      </c>
      <c r="E21" s="26">
        <v>43004</v>
      </c>
      <c r="F21" s="22"/>
      <c r="G21" s="22"/>
      <c r="H21" s="22"/>
      <c r="I21" s="22"/>
      <c r="J21" s="22">
        <f t="shared" si="4"/>
        <v>10</v>
      </c>
      <c r="K21" s="22">
        <f t="shared" si="5"/>
        <v>0</v>
      </c>
      <c r="L21" s="22">
        <f t="shared" si="6"/>
        <v>0</v>
      </c>
      <c r="M21" s="22">
        <f t="shared" si="7"/>
        <v>10</v>
      </c>
      <c r="N21" s="22"/>
    </row>
    <row r="22" spans="1:14" x14ac:dyDescent="0.25">
      <c r="A22" s="4">
        <v>19</v>
      </c>
      <c r="B22" s="6" t="s">
        <v>135</v>
      </c>
      <c r="C22" s="52">
        <v>41183</v>
      </c>
      <c r="D22" s="26">
        <v>42736</v>
      </c>
      <c r="E22" s="26">
        <v>42742</v>
      </c>
      <c r="F22" s="26">
        <v>42917</v>
      </c>
      <c r="G22" s="26">
        <v>42926</v>
      </c>
      <c r="H22" s="22"/>
      <c r="I22" s="22"/>
      <c r="J22" s="22">
        <f t="shared" si="4"/>
        <v>6</v>
      </c>
      <c r="K22" s="22">
        <f t="shared" si="5"/>
        <v>9</v>
      </c>
      <c r="L22" s="22">
        <f t="shared" si="6"/>
        <v>0</v>
      </c>
      <c r="M22" s="22">
        <f t="shared" si="7"/>
        <v>15</v>
      </c>
      <c r="N22" s="22"/>
    </row>
    <row r="23" spans="1:14" x14ac:dyDescent="0.25">
      <c r="A23" s="4">
        <v>20</v>
      </c>
      <c r="B23" s="6" t="s">
        <v>162</v>
      </c>
      <c r="C23" s="52">
        <v>41487</v>
      </c>
      <c r="D23" s="26">
        <v>42979</v>
      </c>
      <c r="E23" s="26">
        <v>43018</v>
      </c>
      <c r="F23" s="22"/>
      <c r="G23" s="22"/>
      <c r="H23" s="22"/>
      <c r="I23" s="22"/>
      <c r="J23" s="22">
        <f t="shared" si="4"/>
        <v>39</v>
      </c>
      <c r="K23" s="22">
        <f t="shared" si="5"/>
        <v>0</v>
      </c>
      <c r="L23" s="22">
        <f t="shared" si="6"/>
        <v>0</v>
      </c>
      <c r="M23" s="22">
        <f t="shared" si="7"/>
        <v>39</v>
      </c>
      <c r="N23" s="22"/>
    </row>
    <row r="24" spans="1:14" x14ac:dyDescent="0.25">
      <c r="A24" s="4">
        <v>21</v>
      </c>
      <c r="B24" s="6" t="s">
        <v>22</v>
      </c>
      <c r="C24" s="52">
        <v>40695</v>
      </c>
      <c r="D24" s="22"/>
      <c r="E24" s="22"/>
      <c r="F24" s="22"/>
      <c r="G24" s="22"/>
      <c r="H24" s="22"/>
      <c r="I24" s="22"/>
      <c r="J24" s="22">
        <f t="shared" si="4"/>
        <v>0</v>
      </c>
      <c r="K24" s="22">
        <f t="shared" si="5"/>
        <v>0</v>
      </c>
      <c r="L24" s="22">
        <f t="shared" si="6"/>
        <v>0</v>
      </c>
      <c r="M24" s="22">
        <f t="shared" si="7"/>
        <v>0</v>
      </c>
      <c r="N24" s="22"/>
    </row>
    <row r="25" spans="1:14" x14ac:dyDescent="0.25">
      <c r="A25" s="4">
        <v>22</v>
      </c>
      <c r="B25" s="6" t="s">
        <v>25</v>
      </c>
      <c r="C25" s="52">
        <v>40969</v>
      </c>
      <c r="D25" s="26">
        <v>43074</v>
      </c>
      <c r="E25" s="26">
        <v>43100</v>
      </c>
      <c r="F25" s="22"/>
      <c r="G25" s="22"/>
      <c r="H25" s="22"/>
      <c r="I25" s="22"/>
      <c r="J25" s="22">
        <f t="shared" si="4"/>
        <v>26</v>
      </c>
      <c r="K25" s="22">
        <f t="shared" si="5"/>
        <v>0</v>
      </c>
      <c r="L25" s="22">
        <f t="shared" si="6"/>
        <v>0</v>
      </c>
      <c r="M25" s="22">
        <f t="shared" si="7"/>
        <v>26</v>
      </c>
      <c r="N25" s="22" t="s">
        <v>246</v>
      </c>
    </row>
    <row r="26" spans="1:14" x14ac:dyDescent="0.25">
      <c r="A26" s="4">
        <v>23</v>
      </c>
      <c r="B26" s="6" t="s">
        <v>26</v>
      </c>
      <c r="C26" s="52">
        <v>41000</v>
      </c>
      <c r="D26" s="22"/>
      <c r="E26" s="22"/>
      <c r="F26" s="22"/>
      <c r="G26" s="22"/>
      <c r="H26" s="22"/>
      <c r="I26" s="22"/>
      <c r="J26" s="22">
        <f t="shared" si="4"/>
        <v>0</v>
      </c>
      <c r="K26" s="22">
        <f t="shared" si="5"/>
        <v>0</v>
      </c>
      <c r="L26" s="22">
        <f t="shared" si="6"/>
        <v>0</v>
      </c>
      <c r="M26" s="22">
        <f t="shared" si="7"/>
        <v>0</v>
      </c>
      <c r="N26" s="22"/>
    </row>
    <row r="27" spans="1:14" x14ac:dyDescent="0.25">
      <c r="A27" s="4">
        <v>24</v>
      </c>
      <c r="B27" s="6" t="s">
        <v>136</v>
      </c>
      <c r="C27" s="52">
        <v>41214</v>
      </c>
      <c r="D27" s="26">
        <v>42736</v>
      </c>
      <c r="E27" s="26">
        <v>42745</v>
      </c>
      <c r="F27" s="26">
        <v>43021</v>
      </c>
      <c r="G27" s="26">
        <v>43065</v>
      </c>
      <c r="H27" s="22"/>
      <c r="I27" s="22"/>
      <c r="J27" s="22">
        <f t="shared" si="4"/>
        <v>9</v>
      </c>
      <c r="K27" s="22">
        <f t="shared" si="5"/>
        <v>44</v>
      </c>
      <c r="L27" s="22">
        <f t="shared" si="6"/>
        <v>0</v>
      </c>
      <c r="M27" s="22">
        <f t="shared" si="7"/>
        <v>53</v>
      </c>
      <c r="N27" s="22"/>
    </row>
    <row r="28" spans="1:14" x14ac:dyDescent="0.25">
      <c r="A28" s="4">
        <v>25</v>
      </c>
      <c r="B28" s="6" t="s">
        <v>137</v>
      </c>
      <c r="C28" s="52">
        <v>41244</v>
      </c>
      <c r="D28" s="26">
        <v>43061</v>
      </c>
      <c r="E28" s="26">
        <v>43099</v>
      </c>
      <c r="F28" s="22"/>
      <c r="G28" s="22"/>
      <c r="H28" s="22"/>
      <c r="I28" s="22"/>
      <c r="J28" s="22">
        <f t="shared" si="4"/>
        <v>38</v>
      </c>
      <c r="K28" s="22">
        <f t="shared" si="5"/>
        <v>0</v>
      </c>
      <c r="L28" s="22">
        <f t="shared" si="6"/>
        <v>0</v>
      </c>
      <c r="M28" s="22">
        <f t="shared" si="7"/>
        <v>38</v>
      </c>
      <c r="N28" s="22"/>
    </row>
    <row r="29" spans="1:14" x14ac:dyDescent="0.25">
      <c r="A29" s="4">
        <v>26</v>
      </c>
      <c r="B29" s="6" t="s">
        <v>138</v>
      </c>
      <c r="C29" s="52">
        <v>41244</v>
      </c>
      <c r="D29" s="26">
        <v>42736</v>
      </c>
      <c r="E29" s="26">
        <v>42739</v>
      </c>
      <c r="F29" s="26">
        <v>42982</v>
      </c>
      <c r="G29" s="26">
        <v>43011</v>
      </c>
      <c r="H29" s="22"/>
      <c r="I29" s="22"/>
      <c r="J29" s="22">
        <f t="shared" si="4"/>
        <v>3</v>
      </c>
      <c r="K29" s="22">
        <f t="shared" si="5"/>
        <v>29</v>
      </c>
      <c r="L29" s="22">
        <f t="shared" si="6"/>
        <v>0</v>
      </c>
      <c r="M29" s="22">
        <f t="shared" si="7"/>
        <v>32</v>
      </c>
      <c r="N29" s="22"/>
    </row>
    <row r="30" spans="1:14" x14ac:dyDescent="0.25">
      <c r="A30" s="4">
        <v>27</v>
      </c>
      <c r="B30" s="6" t="s">
        <v>153</v>
      </c>
      <c r="C30" s="52">
        <v>41395</v>
      </c>
      <c r="D30" s="26">
        <v>42857</v>
      </c>
      <c r="E30" s="26">
        <v>42890</v>
      </c>
      <c r="F30" s="22"/>
      <c r="G30" s="22"/>
      <c r="H30" s="22"/>
      <c r="I30" s="22"/>
      <c r="J30" s="22">
        <f t="shared" si="4"/>
        <v>33</v>
      </c>
      <c r="K30" s="22">
        <f t="shared" si="5"/>
        <v>0</v>
      </c>
      <c r="L30" s="22">
        <f t="shared" si="6"/>
        <v>0</v>
      </c>
      <c r="M30" s="22">
        <f t="shared" si="7"/>
        <v>33</v>
      </c>
      <c r="N30" s="22"/>
    </row>
    <row r="31" spans="1:14" x14ac:dyDescent="0.25">
      <c r="A31" s="4">
        <v>28</v>
      </c>
      <c r="B31" s="6" t="s">
        <v>161</v>
      </c>
      <c r="C31" s="52">
        <v>41487</v>
      </c>
      <c r="D31" s="26">
        <v>43011</v>
      </c>
      <c r="E31" s="26">
        <v>43100</v>
      </c>
      <c r="F31" s="22"/>
      <c r="G31" s="22"/>
      <c r="H31" s="22"/>
      <c r="I31" s="22"/>
      <c r="J31" s="22">
        <f t="shared" si="4"/>
        <v>89</v>
      </c>
      <c r="K31" s="22">
        <f t="shared" si="5"/>
        <v>0</v>
      </c>
      <c r="L31" s="22">
        <f t="shared" si="6"/>
        <v>0</v>
      </c>
      <c r="M31" s="22">
        <f t="shared" si="7"/>
        <v>89</v>
      </c>
      <c r="N31" s="22" t="s">
        <v>246</v>
      </c>
    </row>
    <row r="32" spans="1:14" x14ac:dyDescent="0.25">
      <c r="A32" s="4">
        <v>29</v>
      </c>
      <c r="B32" s="6" t="s">
        <v>163</v>
      </c>
      <c r="C32" s="52">
        <v>41518</v>
      </c>
      <c r="D32" s="22"/>
      <c r="E32" s="22"/>
      <c r="F32" s="22"/>
      <c r="G32" s="22"/>
      <c r="H32" s="22"/>
      <c r="I32" s="22"/>
      <c r="J32" s="22">
        <f t="shared" si="4"/>
        <v>0</v>
      </c>
      <c r="K32" s="22">
        <f t="shared" si="5"/>
        <v>0</v>
      </c>
      <c r="L32" s="22">
        <f t="shared" si="6"/>
        <v>0</v>
      </c>
      <c r="M32" s="22">
        <f t="shared" si="7"/>
        <v>0</v>
      </c>
      <c r="N32" s="22"/>
    </row>
    <row r="33" spans="1:14" x14ac:dyDescent="0.25">
      <c r="A33" s="4">
        <v>30</v>
      </c>
      <c r="B33" s="6" t="s">
        <v>164</v>
      </c>
      <c r="C33" s="52">
        <v>41548</v>
      </c>
      <c r="D33" s="26">
        <v>42834</v>
      </c>
      <c r="E33" s="26">
        <v>42903</v>
      </c>
      <c r="F33" s="22"/>
      <c r="G33" s="22"/>
      <c r="H33" s="22"/>
      <c r="I33" s="22"/>
      <c r="J33" s="22">
        <f t="shared" si="4"/>
        <v>69</v>
      </c>
      <c r="K33" s="22">
        <f t="shared" si="5"/>
        <v>0</v>
      </c>
      <c r="L33" s="22">
        <f t="shared" si="6"/>
        <v>0</v>
      </c>
      <c r="M33" s="22">
        <f t="shared" si="7"/>
        <v>69</v>
      </c>
      <c r="N33" s="22"/>
    </row>
    <row r="34" spans="1:14" x14ac:dyDescent="0.25">
      <c r="A34" s="4">
        <v>31</v>
      </c>
      <c r="B34" s="6" t="s">
        <v>167</v>
      </c>
      <c r="C34" s="52">
        <v>41579</v>
      </c>
      <c r="D34" s="26">
        <v>42848</v>
      </c>
      <c r="E34" s="26">
        <v>42934</v>
      </c>
      <c r="F34" s="22"/>
      <c r="G34" s="22"/>
      <c r="H34" s="22"/>
      <c r="I34" s="22"/>
      <c r="J34" s="22">
        <f t="shared" si="4"/>
        <v>86</v>
      </c>
      <c r="K34" s="22">
        <f t="shared" si="5"/>
        <v>0</v>
      </c>
      <c r="L34" s="22">
        <f t="shared" si="6"/>
        <v>0</v>
      </c>
      <c r="M34" s="22">
        <f t="shared" si="7"/>
        <v>86</v>
      </c>
      <c r="N34" s="22"/>
    </row>
    <row r="35" spans="1:14" x14ac:dyDescent="0.25">
      <c r="A35" s="4">
        <v>32</v>
      </c>
      <c r="B35" s="41" t="s">
        <v>166</v>
      </c>
      <c r="C35" s="53">
        <v>41609</v>
      </c>
      <c r="D35" s="26">
        <v>42736</v>
      </c>
      <c r="E35" s="26">
        <v>42743</v>
      </c>
      <c r="F35" s="26">
        <v>42901</v>
      </c>
      <c r="G35" s="26">
        <v>42933</v>
      </c>
      <c r="H35" s="22"/>
      <c r="I35" s="22"/>
      <c r="J35" s="22">
        <f t="shared" si="4"/>
        <v>7</v>
      </c>
      <c r="K35" s="22">
        <f t="shared" si="5"/>
        <v>32</v>
      </c>
      <c r="L35" s="22">
        <f t="shared" si="6"/>
        <v>0</v>
      </c>
      <c r="M35" s="22">
        <f t="shared" si="7"/>
        <v>39</v>
      </c>
      <c r="N35" s="22"/>
    </row>
    <row r="36" spans="1:14" x14ac:dyDescent="0.25">
      <c r="A36" s="4">
        <v>33</v>
      </c>
      <c r="B36" s="6" t="s">
        <v>170</v>
      </c>
      <c r="C36" s="52">
        <v>41671</v>
      </c>
      <c r="D36" s="22"/>
      <c r="E36" s="22"/>
      <c r="F36" s="22"/>
      <c r="G36" s="22"/>
      <c r="H36" s="22"/>
      <c r="I36" s="22"/>
      <c r="J36" s="22">
        <f t="shared" si="4"/>
        <v>0</v>
      </c>
      <c r="K36" s="22">
        <f t="shared" si="5"/>
        <v>0</v>
      </c>
      <c r="L36" s="22">
        <f t="shared" si="6"/>
        <v>0</v>
      </c>
      <c r="M36" s="22">
        <f t="shared" si="7"/>
        <v>0</v>
      </c>
      <c r="N36" s="22"/>
    </row>
    <row r="37" spans="1:14" x14ac:dyDescent="0.25">
      <c r="A37" s="4">
        <v>34</v>
      </c>
      <c r="B37" s="6" t="s">
        <v>182</v>
      </c>
      <c r="C37" s="52">
        <v>41883</v>
      </c>
      <c r="D37" s="26">
        <v>42736</v>
      </c>
      <c r="E37" s="26">
        <v>42782</v>
      </c>
      <c r="F37" s="22"/>
      <c r="G37" s="22"/>
      <c r="H37" s="22"/>
      <c r="I37" s="22"/>
      <c r="J37" s="22">
        <f t="shared" si="4"/>
        <v>46</v>
      </c>
      <c r="K37" s="22">
        <f t="shared" si="5"/>
        <v>0</v>
      </c>
      <c r="L37" s="22">
        <f t="shared" si="6"/>
        <v>0</v>
      </c>
      <c r="M37" s="22">
        <f t="shared" si="7"/>
        <v>46</v>
      </c>
      <c r="N37" s="22"/>
    </row>
    <row r="38" spans="1:14" x14ac:dyDescent="0.25">
      <c r="A38" s="4">
        <v>35</v>
      </c>
      <c r="B38" s="6" t="s">
        <v>183</v>
      </c>
      <c r="C38" s="52">
        <v>41913</v>
      </c>
      <c r="D38" s="26">
        <v>42768</v>
      </c>
      <c r="E38" s="26">
        <v>42831</v>
      </c>
      <c r="F38" s="22"/>
      <c r="G38" s="22"/>
      <c r="H38" s="22"/>
      <c r="I38" s="22"/>
      <c r="J38" s="22">
        <f t="shared" si="4"/>
        <v>63</v>
      </c>
      <c r="K38" s="22">
        <f t="shared" si="5"/>
        <v>0</v>
      </c>
      <c r="L38" s="22">
        <f t="shared" si="6"/>
        <v>0</v>
      </c>
      <c r="M38" s="22">
        <f t="shared" si="7"/>
        <v>63</v>
      </c>
      <c r="N38" s="22"/>
    </row>
    <row r="39" spans="1:14" x14ac:dyDescent="0.25">
      <c r="A39" s="4">
        <v>36</v>
      </c>
      <c r="B39" s="6" t="s">
        <v>195</v>
      </c>
      <c r="C39" s="44">
        <v>42005</v>
      </c>
      <c r="D39" s="26">
        <v>42962</v>
      </c>
      <c r="E39" s="26">
        <v>42995</v>
      </c>
      <c r="F39" s="22"/>
      <c r="G39" s="22"/>
      <c r="H39" s="22"/>
      <c r="I39" s="22"/>
      <c r="J39" s="22">
        <f t="shared" si="4"/>
        <v>33</v>
      </c>
      <c r="K39" s="22">
        <f t="shared" si="5"/>
        <v>0</v>
      </c>
      <c r="L39" s="22">
        <f t="shared" si="6"/>
        <v>0</v>
      </c>
      <c r="M39" s="22">
        <f t="shared" si="7"/>
        <v>33</v>
      </c>
      <c r="N39" s="22"/>
    </row>
    <row r="40" spans="1:14" x14ac:dyDescent="0.25">
      <c r="A40" s="4">
        <v>37</v>
      </c>
      <c r="B40" s="6" t="s">
        <v>196</v>
      </c>
      <c r="C40" s="44">
        <v>42005</v>
      </c>
      <c r="D40" s="26">
        <v>42826</v>
      </c>
      <c r="E40" s="26">
        <v>42896</v>
      </c>
      <c r="F40" s="26">
        <v>42949</v>
      </c>
      <c r="G40" s="26">
        <v>42959</v>
      </c>
      <c r="H40" s="22"/>
      <c r="I40" s="22"/>
      <c r="J40" s="22">
        <f t="shared" si="4"/>
        <v>70</v>
      </c>
      <c r="K40" s="22">
        <f t="shared" si="5"/>
        <v>10</v>
      </c>
      <c r="L40" s="22">
        <f t="shared" si="6"/>
        <v>0</v>
      </c>
      <c r="M40" s="22">
        <f t="shared" si="7"/>
        <v>80</v>
      </c>
      <c r="N40" s="22"/>
    </row>
    <row r="41" spans="1:14" x14ac:dyDescent="0.25">
      <c r="A41" s="4">
        <v>38</v>
      </c>
      <c r="B41" s="6" t="s">
        <v>197</v>
      </c>
      <c r="C41" s="44">
        <v>42064</v>
      </c>
      <c r="D41" s="26">
        <v>42948</v>
      </c>
      <c r="E41" s="26">
        <v>43011</v>
      </c>
      <c r="F41" s="22"/>
      <c r="G41" s="22"/>
      <c r="H41" s="22"/>
      <c r="I41" s="22"/>
      <c r="J41" s="22">
        <f t="shared" si="4"/>
        <v>63</v>
      </c>
      <c r="K41" s="22">
        <f t="shared" si="5"/>
        <v>0</v>
      </c>
      <c r="L41" s="22">
        <f t="shared" si="6"/>
        <v>0</v>
      </c>
      <c r="M41" s="22">
        <f t="shared" si="7"/>
        <v>63</v>
      </c>
      <c r="N41" s="22"/>
    </row>
    <row r="42" spans="1:14" x14ac:dyDescent="0.25">
      <c r="A42" s="4">
        <v>39</v>
      </c>
      <c r="B42" s="6" t="s">
        <v>198</v>
      </c>
      <c r="C42" s="44">
        <v>42064</v>
      </c>
      <c r="D42" s="22"/>
      <c r="E42" s="22"/>
      <c r="F42" s="22"/>
      <c r="G42" s="22"/>
      <c r="H42" s="22"/>
      <c r="I42" s="22"/>
      <c r="J42" s="22">
        <f t="shared" si="4"/>
        <v>0</v>
      </c>
      <c r="K42" s="22">
        <f t="shared" si="5"/>
        <v>0</v>
      </c>
      <c r="L42" s="22">
        <f t="shared" si="6"/>
        <v>0</v>
      </c>
      <c r="M42" s="22">
        <f t="shared" si="7"/>
        <v>0</v>
      </c>
      <c r="N42" s="22"/>
    </row>
    <row r="43" spans="1:14" x14ac:dyDescent="0.25">
      <c r="A43" s="4">
        <v>40</v>
      </c>
      <c r="B43" s="6" t="s">
        <v>199</v>
      </c>
      <c r="C43" s="44">
        <v>42156</v>
      </c>
      <c r="D43" s="22"/>
      <c r="E43" s="22"/>
      <c r="F43" s="22"/>
      <c r="G43" s="22"/>
      <c r="H43" s="22"/>
      <c r="I43" s="22"/>
      <c r="J43" s="22">
        <f t="shared" si="4"/>
        <v>0</v>
      </c>
      <c r="K43" s="22">
        <f t="shared" si="5"/>
        <v>0</v>
      </c>
      <c r="L43" s="22">
        <f t="shared" si="6"/>
        <v>0</v>
      </c>
      <c r="M43" s="22">
        <f t="shared" si="7"/>
        <v>0</v>
      </c>
      <c r="N43" s="22"/>
    </row>
    <row r="44" spans="1:14" x14ac:dyDescent="0.25">
      <c r="A44" s="4">
        <v>41</v>
      </c>
      <c r="B44" s="43" t="s">
        <v>200</v>
      </c>
      <c r="C44" s="44">
        <v>42248</v>
      </c>
      <c r="D44" s="22"/>
      <c r="E44" s="22"/>
      <c r="F44" s="22"/>
      <c r="G44" s="22"/>
      <c r="H44" s="22"/>
      <c r="I44" s="22"/>
      <c r="J44" s="22">
        <f t="shared" si="4"/>
        <v>0</v>
      </c>
      <c r="K44" s="22">
        <f t="shared" si="5"/>
        <v>0</v>
      </c>
      <c r="L44" s="22">
        <f t="shared" si="6"/>
        <v>0</v>
      </c>
      <c r="M44" s="22">
        <f t="shared" si="7"/>
        <v>0</v>
      </c>
      <c r="N44" s="22"/>
    </row>
    <row r="45" spans="1:14" x14ac:dyDescent="0.25">
      <c r="A45" s="4">
        <v>42</v>
      </c>
      <c r="B45" s="6" t="s">
        <v>201</v>
      </c>
      <c r="C45" s="44">
        <v>42248</v>
      </c>
      <c r="D45" s="26">
        <v>42839</v>
      </c>
      <c r="E45" s="26">
        <v>42865</v>
      </c>
      <c r="F45" s="22"/>
      <c r="G45" s="22"/>
      <c r="H45" s="22"/>
      <c r="I45" s="22"/>
      <c r="J45" s="22">
        <f t="shared" si="4"/>
        <v>26</v>
      </c>
      <c r="K45" s="22">
        <f t="shared" si="5"/>
        <v>0</v>
      </c>
      <c r="L45" s="22">
        <f t="shared" si="6"/>
        <v>0</v>
      </c>
      <c r="M45" s="22">
        <f t="shared" si="7"/>
        <v>26</v>
      </c>
      <c r="N45" s="22"/>
    </row>
    <row r="46" spans="1:14" x14ac:dyDescent="0.25">
      <c r="A46" s="4">
        <v>43</v>
      </c>
      <c r="B46" s="6" t="s">
        <v>206</v>
      </c>
      <c r="C46" s="44">
        <v>42324</v>
      </c>
      <c r="D46" s="22"/>
      <c r="E46" s="22"/>
      <c r="F46" s="22"/>
      <c r="G46" s="22"/>
      <c r="H46" s="22"/>
      <c r="I46" s="22"/>
      <c r="J46" s="22">
        <f t="shared" si="4"/>
        <v>0</v>
      </c>
      <c r="K46" s="22">
        <f t="shared" si="5"/>
        <v>0</v>
      </c>
      <c r="L46" s="22">
        <f t="shared" si="6"/>
        <v>0</v>
      </c>
      <c r="M46" s="22">
        <f t="shared" si="7"/>
        <v>0</v>
      </c>
      <c r="N46" s="22"/>
    </row>
    <row r="47" spans="1:14" x14ac:dyDescent="0.25">
      <c r="A47" s="4">
        <v>44</v>
      </c>
      <c r="B47" s="6" t="s">
        <v>172</v>
      </c>
      <c r="C47" s="52">
        <v>41760</v>
      </c>
      <c r="D47" s="26">
        <v>42948</v>
      </c>
      <c r="E47" s="26">
        <v>42985</v>
      </c>
      <c r="F47" s="22"/>
      <c r="G47" s="22"/>
      <c r="H47" s="22"/>
      <c r="I47" s="22"/>
      <c r="J47" s="22">
        <f t="shared" si="4"/>
        <v>37</v>
      </c>
      <c r="K47" s="22">
        <f t="shared" si="5"/>
        <v>0</v>
      </c>
      <c r="L47" s="22">
        <f t="shared" si="6"/>
        <v>0</v>
      </c>
      <c r="M47" s="22">
        <f t="shared" si="7"/>
        <v>37</v>
      </c>
      <c r="N47" s="22"/>
    </row>
    <row r="48" spans="1:14" x14ac:dyDescent="0.25">
      <c r="A48" s="4">
        <v>45</v>
      </c>
      <c r="B48" s="6" t="s">
        <v>174</v>
      </c>
      <c r="C48" s="52">
        <v>41760</v>
      </c>
      <c r="D48" s="26">
        <v>42736</v>
      </c>
      <c r="E48" s="26">
        <v>42739</v>
      </c>
      <c r="F48" s="22"/>
      <c r="G48" s="22"/>
      <c r="H48" s="22"/>
      <c r="I48" s="22"/>
      <c r="J48" s="22">
        <f t="shared" si="4"/>
        <v>3</v>
      </c>
      <c r="K48" s="22">
        <f t="shared" si="5"/>
        <v>0</v>
      </c>
      <c r="L48" s="22">
        <f t="shared" si="6"/>
        <v>0</v>
      </c>
      <c r="M48" s="22">
        <f t="shared" si="7"/>
        <v>3</v>
      </c>
      <c r="N48" s="22"/>
    </row>
    <row r="49" spans="1:14" x14ac:dyDescent="0.25">
      <c r="A49" s="4">
        <v>46</v>
      </c>
      <c r="B49" s="6" t="s">
        <v>42</v>
      </c>
      <c r="C49" s="52">
        <v>40878</v>
      </c>
      <c r="D49" s="26">
        <v>42834</v>
      </c>
      <c r="E49" s="26">
        <v>42907</v>
      </c>
      <c r="F49" s="22"/>
      <c r="G49" s="22"/>
      <c r="H49" s="22"/>
      <c r="I49" s="22"/>
      <c r="J49" s="22">
        <f t="shared" si="4"/>
        <v>73</v>
      </c>
      <c r="K49" s="22">
        <f t="shared" si="5"/>
        <v>0</v>
      </c>
      <c r="L49" s="22">
        <f t="shared" si="6"/>
        <v>0</v>
      </c>
      <c r="M49" s="22">
        <f t="shared" si="7"/>
        <v>73</v>
      </c>
      <c r="N49" s="22"/>
    </row>
    <row r="50" spans="1:14" x14ac:dyDescent="0.25">
      <c r="A50" s="4">
        <v>47</v>
      </c>
      <c r="B50" s="6" t="s">
        <v>221</v>
      </c>
      <c r="C50" s="52">
        <v>42430</v>
      </c>
      <c r="D50" s="22"/>
      <c r="E50" s="22"/>
      <c r="F50" s="22"/>
      <c r="G50" s="22"/>
      <c r="H50" s="22"/>
      <c r="I50" s="22"/>
      <c r="J50" s="22">
        <f t="shared" si="4"/>
        <v>0</v>
      </c>
      <c r="K50" s="22">
        <f t="shared" si="5"/>
        <v>0</v>
      </c>
      <c r="L50" s="22">
        <f t="shared" si="6"/>
        <v>0</v>
      </c>
      <c r="M50" s="22">
        <f t="shared" si="7"/>
        <v>0</v>
      </c>
      <c r="N50" s="22"/>
    </row>
    <row r="51" spans="1:14" x14ac:dyDescent="0.25">
      <c r="A51" s="4">
        <v>48</v>
      </c>
      <c r="B51" s="6" t="s">
        <v>222</v>
      </c>
      <c r="C51" s="52">
        <v>42522</v>
      </c>
      <c r="D51" s="22"/>
      <c r="E51" s="22"/>
      <c r="F51" s="22"/>
      <c r="G51" s="22"/>
      <c r="H51" s="22"/>
      <c r="I51" s="22"/>
      <c r="J51" s="22">
        <f t="shared" si="4"/>
        <v>0</v>
      </c>
      <c r="K51" s="22">
        <f t="shared" si="5"/>
        <v>0</v>
      </c>
      <c r="L51" s="22">
        <f t="shared" si="6"/>
        <v>0</v>
      </c>
      <c r="M51" s="22">
        <f t="shared" si="7"/>
        <v>0</v>
      </c>
      <c r="N51" s="22"/>
    </row>
    <row r="52" spans="1:14" x14ac:dyDescent="0.25">
      <c r="A52" s="4">
        <v>49</v>
      </c>
      <c r="B52" s="6" t="s">
        <v>223</v>
      </c>
      <c r="C52" s="52">
        <v>42522</v>
      </c>
      <c r="D52" s="22"/>
      <c r="E52" s="22"/>
      <c r="F52" s="22"/>
      <c r="G52" s="22"/>
      <c r="H52" s="22"/>
      <c r="I52" s="22"/>
      <c r="J52" s="22">
        <f t="shared" si="4"/>
        <v>0</v>
      </c>
      <c r="K52" s="22">
        <f t="shared" si="5"/>
        <v>0</v>
      </c>
      <c r="L52" s="22">
        <f t="shared" si="6"/>
        <v>0</v>
      </c>
      <c r="M52" s="22">
        <f t="shared" si="7"/>
        <v>0</v>
      </c>
      <c r="N52" s="22"/>
    </row>
    <row r="53" spans="1:14" x14ac:dyDescent="0.25">
      <c r="A53" s="4">
        <v>50</v>
      </c>
      <c r="B53" s="6" t="s">
        <v>224</v>
      </c>
      <c r="C53" s="52">
        <v>42522</v>
      </c>
      <c r="D53" s="26">
        <v>42955</v>
      </c>
      <c r="E53" s="26">
        <v>42972</v>
      </c>
      <c r="F53" s="26">
        <v>43009</v>
      </c>
      <c r="G53" s="26">
        <v>43100</v>
      </c>
      <c r="H53" s="22"/>
      <c r="I53" s="22"/>
      <c r="J53" s="22">
        <f t="shared" si="4"/>
        <v>17</v>
      </c>
      <c r="K53" s="22">
        <f t="shared" si="5"/>
        <v>91</v>
      </c>
      <c r="L53" s="22">
        <f t="shared" si="6"/>
        <v>0</v>
      </c>
      <c r="M53" s="22">
        <f t="shared" si="7"/>
        <v>108</v>
      </c>
      <c r="N53" s="22" t="s">
        <v>246</v>
      </c>
    </row>
    <row r="54" spans="1:14" x14ac:dyDescent="0.25">
      <c r="A54" s="4">
        <v>51</v>
      </c>
      <c r="B54" s="6" t="s">
        <v>238</v>
      </c>
      <c r="C54" s="52">
        <v>42614</v>
      </c>
      <c r="D54" s="22"/>
      <c r="E54" s="22"/>
      <c r="F54" s="22"/>
      <c r="G54" s="22"/>
      <c r="H54" s="22"/>
      <c r="I54" s="22"/>
      <c r="J54" s="22">
        <f t="shared" si="4"/>
        <v>0</v>
      </c>
      <c r="K54" s="22">
        <f t="shared" si="5"/>
        <v>0</v>
      </c>
      <c r="L54" s="22">
        <f t="shared" si="6"/>
        <v>0</v>
      </c>
      <c r="M54" s="22">
        <f t="shared" si="7"/>
        <v>0</v>
      </c>
      <c r="N54" s="22"/>
    </row>
    <row r="55" spans="1:14" x14ac:dyDescent="0.25">
      <c r="A55" s="4">
        <v>52</v>
      </c>
      <c r="B55" s="6" t="s">
        <v>227</v>
      </c>
      <c r="C55" s="52">
        <v>42644</v>
      </c>
      <c r="D55" s="22"/>
      <c r="E55" s="22"/>
      <c r="F55" s="22"/>
      <c r="G55" s="22"/>
      <c r="H55" s="22"/>
      <c r="I55" s="22"/>
      <c r="J55" s="22">
        <f t="shared" si="4"/>
        <v>0</v>
      </c>
      <c r="K55" s="22">
        <f t="shared" si="5"/>
        <v>0</v>
      </c>
      <c r="L55" s="22">
        <f t="shared" si="6"/>
        <v>0</v>
      </c>
      <c r="M55" s="22">
        <f t="shared" si="7"/>
        <v>0</v>
      </c>
      <c r="N55" s="22"/>
    </row>
    <row r="56" spans="1:14" x14ac:dyDescent="0.25">
      <c r="A56" s="4">
        <v>53</v>
      </c>
      <c r="B56" s="6" t="s">
        <v>228</v>
      </c>
      <c r="C56" s="52">
        <v>42675</v>
      </c>
      <c r="D56" s="26">
        <v>42784</v>
      </c>
      <c r="E56" s="26">
        <v>42795</v>
      </c>
      <c r="F56" s="22"/>
      <c r="G56" s="22"/>
      <c r="H56" s="22"/>
      <c r="I56" s="22"/>
      <c r="J56" s="22">
        <f t="shared" si="4"/>
        <v>11</v>
      </c>
      <c r="K56" s="22">
        <f t="shared" si="5"/>
        <v>0</v>
      </c>
      <c r="L56" s="22">
        <f t="shared" si="6"/>
        <v>0</v>
      </c>
      <c r="M56" s="22">
        <f t="shared" si="7"/>
        <v>11</v>
      </c>
      <c r="N56" s="22"/>
    </row>
    <row r="57" spans="1:14" x14ac:dyDescent="0.25">
      <c r="A57" s="4">
        <v>54</v>
      </c>
      <c r="B57" s="6" t="s">
        <v>229</v>
      </c>
      <c r="C57" s="52">
        <v>42675</v>
      </c>
      <c r="D57" s="22"/>
      <c r="E57" s="22"/>
      <c r="F57" s="22"/>
      <c r="G57" s="22"/>
      <c r="H57" s="22"/>
      <c r="I57" s="22"/>
      <c r="J57" s="22">
        <f t="shared" si="4"/>
        <v>0</v>
      </c>
      <c r="K57" s="22">
        <f t="shared" si="5"/>
        <v>0</v>
      </c>
      <c r="L57" s="22">
        <f t="shared" si="6"/>
        <v>0</v>
      </c>
      <c r="M57" s="22">
        <f t="shared" si="7"/>
        <v>0</v>
      </c>
      <c r="N57" s="22"/>
    </row>
    <row r="58" spans="1:14" x14ac:dyDescent="0.25">
      <c r="A58" s="4">
        <v>55</v>
      </c>
      <c r="B58" s="6" t="s">
        <v>232</v>
      </c>
      <c r="C58" s="52">
        <v>42736</v>
      </c>
      <c r="D58" s="22"/>
      <c r="E58" s="22"/>
      <c r="F58" s="22"/>
      <c r="G58" s="22"/>
      <c r="H58" s="22"/>
      <c r="I58" s="22"/>
      <c r="J58" s="22">
        <f t="shared" si="4"/>
        <v>0</v>
      </c>
      <c r="K58" s="22">
        <f t="shared" si="5"/>
        <v>0</v>
      </c>
      <c r="L58" s="22">
        <f t="shared" si="6"/>
        <v>0</v>
      </c>
      <c r="M58" s="22">
        <f t="shared" si="7"/>
        <v>0</v>
      </c>
      <c r="N58" s="22"/>
    </row>
    <row r="59" spans="1:14" x14ac:dyDescent="0.25">
      <c r="A59" s="4">
        <v>56</v>
      </c>
      <c r="B59" s="6" t="s">
        <v>239</v>
      </c>
      <c r="C59" s="52">
        <v>42795</v>
      </c>
      <c r="D59" s="26"/>
      <c r="E59" s="26"/>
      <c r="F59" s="22"/>
      <c r="G59" s="22"/>
      <c r="H59" s="22"/>
      <c r="I59" s="22"/>
      <c r="J59" s="22">
        <f t="shared" si="4"/>
        <v>0</v>
      </c>
      <c r="K59" s="22">
        <f t="shared" si="5"/>
        <v>0</v>
      </c>
      <c r="L59" s="22">
        <f t="shared" si="6"/>
        <v>0</v>
      </c>
      <c r="M59" s="22">
        <f t="shared" si="7"/>
        <v>0</v>
      </c>
      <c r="N59" s="22"/>
    </row>
    <row r="60" spans="1:14" x14ac:dyDescent="0.25">
      <c r="A60" s="4">
        <v>57</v>
      </c>
      <c r="B60" s="57" t="s">
        <v>240</v>
      </c>
      <c r="C60" s="52">
        <v>42795</v>
      </c>
      <c r="D60" s="22"/>
      <c r="E60" s="22"/>
      <c r="F60" s="22"/>
      <c r="G60" s="22"/>
      <c r="H60" s="22"/>
      <c r="I60" s="22"/>
      <c r="J60" s="22">
        <f t="shared" si="4"/>
        <v>0</v>
      </c>
      <c r="K60" s="22">
        <f t="shared" si="5"/>
        <v>0</v>
      </c>
      <c r="L60" s="22">
        <f t="shared" si="6"/>
        <v>0</v>
      </c>
      <c r="M60" s="22">
        <f t="shared" si="7"/>
        <v>0</v>
      </c>
      <c r="N60" s="22"/>
    </row>
    <row r="61" spans="1:14" x14ac:dyDescent="0.25">
      <c r="A61" s="4">
        <v>58</v>
      </c>
      <c r="B61" s="6" t="s">
        <v>233</v>
      </c>
      <c r="C61" s="52">
        <v>42826</v>
      </c>
      <c r="D61" s="22"/>
      <c r="E61" s="22"/>
      <c r="F61" s="22"/>
      <c r="G61" s="22"/>
      <c r="H61" s="22"/>
      <c r="I61" s="22"/>
      <c r="J61" s="22">
        <f t="shared" si="4"/>
        <v>0</v>
      </c>
      <c r="K61" s="22">
        <f t="shared" si="5"/>
        <v>0</v>
      </c>
      <c r="L61" s="22">
        <f t="shared" si="6"/>
        <v>0</v>
      </c>
      <c r="M61" s="22">
        <f t="shared" si="7"/>
        <v>0</v>
      </c>
      <c r="N61" s="22"/>
    </row>
    <row r="62" spans="1:14" x14ac:dyDescent="0.25">
      <c r="A62" s="4">
        <v>59</v>
      </c>
      <c r="B62" s="56" t="s">
        <v>234</v>
      </c>
      <c r="C62" s="52">
        <v>42856</v>
      </c>
      <c r="D62" s="22"/>
      <c r="E62" s="22"/>
      <c r="F62" s="22"/>
      <c r="G62" s="22"/>
      <c r="H62" s="22"/>
      <c r="I62" s="22"/>
      <c r="J62" s="22">
        <f t="shared" si="4"/>
        <v>0</v>
      </c>
      <c r="K62" s="22">
        <f t="shared" si="5"/>
        <v>0</v>
      </c>
      <c r="L62" s="22">
        <f t="shared" si="6"/>
        <v>0</v>
      </c>
      <c r="M62" s="22">
        <f t="shared" si="7"/>
        <v>0</v>
      </c>
      <c r="N62" s="22"/>
    </row>
    <row r="63" spans="1:14" x14ac:dyDescent="0.25">
      <c r="A63" s="4">
        <v>60</v>
      </c>
      <c r="B63" s="56" t="s">
        <v>235</v>
      </c>
      <c r="C63" s="52">
        <v>42856</v>
      </c>
      <c r="D63" s="22"/>
      <c r="E63" s="22"/>
      <c r="F63" s="22"/>
      <c r="G63" s="22"/>
      <c r="H63" s="22"/>
      <c r="I63" s="22"/>
      <c r="J63" s="22">
        <f t="shared" si="4"/>
        <v>0</v>
      </c>
      <c r="K63" s="22">
        <f t="shared" si="5"/>
        <v>0</v>
      </c>
      <c r="L63" s="22">
        <f t="shared" si="6"/>
        <v>0</v>
      </c>
      <c r="M63" s="22">
        <f t="shared" si="7"/>
        <v>0</v>
      </c>
      <c r="N63" s="22"/>
    </row>
    <row r="64" spans="1:14" x14ac:dyDescent="0.25">
      <c r="A64" s="4">
        <v>61</v>
      </c>
      <c r="B64" s="56" t="s">
        <v>236</v>
      </c>
      <c r="C64" s="52">
        <v>42856</v>
      </c>
      <c r="D64" s="22"/>
      <c r="E64" s="22"/>
      <c r="F64" s="22"/>
      <c r="G64" s="22"/>
      <c r="H64" s="22"/>
      <c r="I64" s="22"/>
      <c r="J64" s="22">
        <f t="shared" si="4"/>
        <v>0</v>
      </c>
      <c r="K64" s="22">
        <f t="shared" si="5"/>
        <v>0</v>
      </c>
      <c r="L64" s="22">
        <f t="shared" si="6"/>
        <v>0</v>
      </c>
      <c r="M64" s="22">
        <f t="shared" si="7"/>
        <v>0</v>
      </c>
      <c r="N64" s="22"/>
    </row>
    <row r="65" spans="1:14" x14ac:dyDescent="0.25">
      <c r="A65" s="4">
        <v>62</v>
      </c>
      <c r="B65" s="56" t="s">
        <v>241</v>
      </c>
      <c r="C65" s="52">
        <v>42948</v>
      </c>
      <c r="D65" s="22"/>
      <c r="E65" s="22"/>
      <c r="F65" s="22"/>
      <c r="G65" s="22"/>
      <c r="H65" s="22"/>
      <c r="I65" s="22"/>
      <c r="J65" s="22">
        <f>E65-D65</f>
        <v>0</v>
      </c>
      <c r="K65" s="22">
        <f>G65-F65</f>
        <v>0</v>
      </c>
      <c r="L65" s="22">
        <f>I65-H65</f>
        <v>0</v>
      </c>
      <c r="M65" s="22">
        <f>J65+K65+L65</f>
        <v>0</v>
      </c>
      <c r="N65" s="22"/>
    </row>
    <row r="66" spans="1:14" x14ac:dyDescent="0.25">
      <c r="A66" s="4">
        <v>63</v>
      </c>
      <c r="B66" s="56" t="s">
        <v>242</v>
      </c>
      <c r="C66" s="52">
        <v>42948</v>
      </c>
      <c r="D66" s="22"/>
      <c r="E66" s="22"/>
      <c r="F66" s="22"/>
      <c r="G66" s="22"/>
      <c r="H66" s="22"/>
      <c r="I66" s="22"/>
      <c r="J66" s="22">
        <f>E66-D66</f>
        <v>0</v>
      </c>
      <c r="K66" s="22">
        <f>G66-F66</f>
        <v>0</v>
      </c>
      <c r="L66" s="22">
        <f>I66-H66</f>
        <v>0</v>
      </c>
      <c r="M66" s="22">
        <f>J66+K66+L66</f>
        <v>0</v>
      </c>
      <c r="N66" s="22"/>
    </row>
    <row r="67" spans="1:14" x14ac:dyDescent="0.25">
      <c r="A67" s="4">
        <v>64</v>
      </c>
      <c r="B67" s="56" t="s">
        <v>243</v>
      </c>
      <c r="C67" s="52">
        <v>42979</v>
      </c>
      <c r="D67" s="22"/>
      <c r="E67" s="22"/>
      <c r="F67" s="22"/>
      <c r="G67" s="22"/>
      <c r="H67" s="22"/>
      <c r="I67" s="22"/>
      <c r="J67" s="22">
        <f>E67-D67</f>
        <v>0</v>
      </c>
      <c r="K67" s="22">
        <f>G67-F67</f>
        <v>0</v>
      </c>
      <c r="L67" s="22">
        <f>I67-H67</f>
        <v>0</v>
      </c>
      <c r="M67" s="22">
        <f>J67+K67+L67</f>
        <v>0</v>
      </c>
      <c r="N67" s="22"/>
    </row>
    <row r="68" spans="1:14" x14ac:dyDescent="0.25">
      <c r="A68" s="4">
        <v>65</v>
      </c>
      <c r="B68" s="56" t="s">
        <v>244</v>
      </c>
      <c r="C68" s="52">
        <v>42979</v>
      </c>
      <c r="D68" s="22"/>
      <c r="E68" s="22"/>
      <c r="F68" s="22"/>
      <c r="G68" s="22"/>
      <c r="H68" s="22"/>
      <c r="I68" s="22"/>
      <c r="J68" s="22">
        <f>E68-D68</f>
        <v>0</v>
      </c>
      <c r="K68" s="22">
        <f>G68-F68</f>
        <v>0</v>
      </c>
      <c r="L68" s="22">
        <f>I68-H68</f>
        <v>0</v>
      </c>
      <c r="M68" s="22">
        <f>J68+K68+L68</f>
        <v>0</v>
      </c>
      <c r="N68" s="22"/>
    </row>
    <row r="69" spans="1:14" x14ac:dyDescent="0.25">
      <c r="A69" s="4">
        <v>66</v>
      </c>
      <c r="B69" s="56" t="s">
        <v>247</v>
      </c>
      <c r="C69" s="52">
        <v>43040</v>
      </c>
      <c r="D69" s="22"/>
      <c r="E69" s="22"/>
      <c r="F69" s="22"/>
      <c r="G69" s="22"/>
      <c r="H69" s="22"/>
      <c r="I69" s="22"/>
      <c r="J69" s="22">
        <f>E69-D69</f>
        <v>0</v>
      </c>
      <c r="K69" s="22">
        <f>G69-F69</f>
        <v>0</v>
      </c>
      <c r="L69" s="22">
        <f>I69-H69</f>
        <v>0</v>
      </c>
      <c r="M69" s="22">
        <f>J69+K69+L69</f>
        <v>0</v>
      </c>
      <c r="N69" s="22"/>
    </row>
    <row r="70" spans="1:14" x14ac:dyDescent="0.25">
      <c r="A70" s="4">
        <v>67</v>
      </c>
      <c r="B70" s="1" t="s">
        <v>29</v>
      </c>
      <c r="C70" s="32">
        <v>39083</v>
      </c>
      <c r="D70" s="26">
        <v>42871</v>
      </c>
      <c r="E70" s="26">
        <v>42886</v>
      </c>
      <c r="F70" s="22"/>
      <c r="G70" s="22"/>
      <c r="H70" s="22"/>
      <c r="I70" s="22"/>
      <c r="J70" s="22">
        <f t="shared" si="4"/>
        <v>15</v>
      </c>
      <c r="K70" s="22">
        <f t="shared" si="5"/>
        <v>0</v>
      </c>
      <c r="L70" s="22">
        <f t="shared" si="6"/>
        <v>0</v>
      </c>
      <c r="M70" s="22">
        <f t="shared" si="7"/>
        <v>15</v>
      </c>
      <c r="N70" s="22"/>
    </row>
    <row r="71" spans="1:14" x14ac:dyDescent="0.25">
      <c r="A71" s="4">
        <v>68</v>
      </c>
      <c r="B71" s="1" t="s">
        <v>30</v>
      </c>
      <c r="C71" s="32">
        <v>39083</v>
      </c>
      <c r="D71" s="26">
        <v>42737</v>
      </c>
      <c r="E71" s="26">
        <v>42808</v>
      </c>
      <c r="F71" s="22"/>
      <c r="G71" s="22"/>
      <c r="H71" s="22"/>
      <c r="I71" s="22"/>
      <c r="J71" s="22">
        <f t="shared" si="4"/>
        <v>71</v>
      </c>
      <c r="K71" s="22">
        <f t="shared" si="5"/>
        <v>0</v>
      </c>
      <c r="L71" s="22">
        <f t="shared" si="6"/>
        <v>0</v>
      </c>
      <c r="M71" s="22">
        <f t="shared" si="7"/>
        <v>71</v>
      </c>
      <c r="N71" s="22"/>
    </row>
    <row r="72" spans="1:14" x14ac:dyDescent="0.25">
      <c r="A72" s="4">
        <v>69</v>
      </c>
      <c r="B72" s="1" t="s">
        <v>31</v>
      </c>
      <c r="C72" s="32">
        <v>39083</v>
      </c>
      <c r="D72" s="26">
        <v>42937</v>
      </c>
      <c r="E72" s="26">
        <v>42997</v>
      </c>
      <c r="F72" s="22"/>
      <c r="G72" s="22"/>
      <c r="H72" s="22"/>
      <c r="I72" s="22"/>
      <c r="J72" s="22">
        <f t="shared" si="4"/>
        <v>60</v>
      </c>
      <c r="K72" s="22">
        <f t="shared" si="5"/>
        <v>0</v>
      </c>
      <c r="L72" s="22">
        <f t="shared" si="6"/>
        <v>0</v>
      </c>
      <c r="M72" s="22">
        <f t="shared" si="7"/>
        <v>60</v>
      </c>
      <c r="N72" s="22"/>
    </row>
    <row r="73" spans="1:14" x14ac:dyDescent="0.25">
      <c r="A73" s="4">
        <v>70</v>
      </c>
      <c r="B73" s="1" t="s">
        <v>33</v>
      </c>
      <c r="C73" s="32">
        <v>40940</v>
      </c>
      <c r="D73" s="22"/>
      <c r="E73" s="22"/>
      <c r="F73" s="22"/>
      <c r="G73" s="22"/>
      <c r="H73" s="22"/>
      <c r="I73" s="22"/>
      <c r="J73" s="22">
        <f t="shared" si="4"/>
        <v>0</v>
      </c>
      <c r="K73" s="22">
        <f t="shared" si="5"/>
        <v>0</v>
      </c>
      <c r="L73" s="22">
        <f t="shared" si="6"/>
        <v>0</v>
      </c>
      <c r="M73" s="22">
        <f t="shared" si="7"/>
        <v>0</v>
      </c>
      <c r="N73" s="22"/>
    </row>
    <row r="74" spans="1:14" x14ac:dyDescent="0.25">
      <c r="A74" s="4">
        <v>71</v>
      </c>
      <c r="B74" s="1" t="s">
        <v>47</v>
      </c>
      <c r="C74" s="35">
        <v>39173</v>
      </c>
      <c r="D74" s="26">
        <v>42887</v>
      </c>
      <c r="E74" s="26">
        <v>42935</v>
      </c>
      <c r="F74" s="22"/>
      <c r="G74" s="22"/>
      <c r="H74" s="22"/>
      <c r="I74" s="22"/>
      <c r="J74" s="22">
        <f t="shared" si="4"/>
        <v>48</v>
      </c>
      <c r="K74" s="22">
        <f t="shared" si="5"/>
        <v>0</v>
      </c>
      <c r="L74" s="22">
        <f t="shared" si="6"/>
        <v>0</v>
      </c>
      <c r="M74" s="22">
        <f t="shared" si="7"/>
        <v>48</v>
      </c>
      <c r="N74" s="22"/>
    </row>
    <row r="75" spans="1:14" x14ac:dyDescent="0.25">
      <c r="A75" s="4">
        <v>72</v>
      </c>
      <c r="B75" s="2" t="s">
        <v>34</v>
      </c>
      <c r="C75" s="32">
        <v>39083</v>
      </c>
      <c r="D75" s="26">
        <v>42973</v>
      </c>
      <c r="E75" s="26">
        <v>43017</v>
      </c>
      <c r="F75" s="22"/>
      <c r="G75" s="22"/>
      <c r="H75" s="22"/>
      <c r="I75" s="22"/>
      <c r="J75" s="22">
        <f t="shared" si="4"/>
        <v>44</v>
      </c>
      <c r="K75" s="22">
        <f t="shared" si="5"/>
        <v>0</v>
      </c>
      <c r="L75" s="22">
        <f t="shared" si="6"/>
        <v>0</v>
      </c>
      <c r="M75" s="22">
        <f t="shared" si="7"/>
        <v>44</v>
      </c>
      <c r="N75" s="22"/>
    </row>
    <row r="76" spans="1:14" x14ac:dyDescent="0.25">
      <c r="A76" s="4">
        <v>73</v>
      </c>
      <c r="B76" s="1" t="s">
        <v>35</v>
      </c>
      <c r="C76" s="32">
        <v>39083</v>
      </c>
      <c r="D76" s="22"/>
      <c r="E76" s="22"/>
      <c r="F76" s="22"/>
      <c r="G76" s="22"/>
      <c r="H76" s="22"/>
      <c r="I76" s="22"/>
      <c r="J76" s="22">
        <f t="shared" si="4"/>
        <v>0</v>
      </c>
      <c r="K76" s="22">
        <f t="shared" si="5"/>
        <v>0</v>
      </c>
      <c r="L76" s="22">
        <f t="shared" si="6"/>
        <v>0</v>
      </c>
      <c r="M76" s="22">
        <f t="shared" si="7"/>
        <v>0</v>
      </c>
      <c r="N76" s="22"/>
    </row>
    <row r="77" spans="1:14" x14ac:dyDescent="0.25">
      <c r="A77" s="4">
        <v>74</v>
      </c>
      <c r="B77" s="5" t="s">
        <v>37</v>
      </c>
      <c r="C77" s="32">
        <v>40544</v>
      </c>
      <c r="D77" s="22"/>
      <c r="E77" s="22"/>
      <c r="F77" s="22"/>
      <c r="G77" s="22"/>
      <c r="H77" s="22"/>
      <c r="I77" s="22"/>
      <c r="J77" s="22">
        <f t="shared" si="4"/>
        <v>0</v>
      </c>
      <c r="K77" s="22">
        <f t="shared" si="5"/>
        <v>0</v>
      </c>
      <c r="L77" s="22">
        <f t="shared" si="6"/>
        <v>0</v>
      </c>
      <c r="M77" s="22">
        <f t="shared" si="7"/>
        <v>0</v>
      </c>
      <c r="N77" s="22"/>
    </row>
    <row r="78" spans="1:14" x14ac:dyDescent="0.25">
      <c r="A78" s="4">
        <v>75</v>
      </c>
      <c r="B78" s="5" t="s">
        <v>39</v>
      </c>
      <c r="C78" s="33">
        <v>40909</v>
      </c>
      <c r="D78" s="22"/>
      <c r="E78" s="22"/>
      <c r="F78" s="22"/>
      <c r="G78" s="22"/>
      <c r="H78" s="22"/>
      <c r="I78" s="22"/>
      <c r="J78" s="22">
        <f t="shared" si="4"/>
        <v>0</v>
      </c>
      <c r="K78" s="22">
        <f t="shared" si="5"/>
        <v>0</v>
      </c>
      <c r="L78" s="22">
        <f t="shared" si="6"/>
        <v>0</v>
      </c>
      <c r="M78" s="22">
        <f t="shared" si="7"/>
        <v>0</v>
      </c>
      <c r="N78" s="22"/>
    </row>
    <row r="79" spans="1:14" x14ac:dyDescent="0.25">
      <c r="A79" s="4">
        <v>76</v>
      </c>
      <c r="B79" s="5" t="s">
        <v>157</v>
      </c>
      <c r="C79" s="32">
        <v>41456</v>
      </c>
      <c r="D79" s="22"/>
      <c r="E79" s="22"/>
      <c r="F79" s="22"/>
      <c r="G79" s="22"/>
      <c r="H79" s="22"/>
      <c r="I79" s="22"/>
      <c r="J79" s="22">
        <f t="shared" ref="J79:J100" si="8">E79-D79</f>
        <v>0</v>
      </c>
      <c r="K79" s="22">
        <f t="shared" ref="K79:K100" si="9">G79-F79</f>
        <v>0</v>
      </c>
      <c r="L79" s="22">
        <f t="shared" ref="L79:L100" si="10">I79-H79</f>
        <v>0</v>
      </c>
      <c r="M79" s="22">
        <f t="shared" ref="M79:M100" si="11">J79+K79+L79</f>
        <v>0</v>
      </c>
      <c r="N79" s="22"/>
    </row>
    <row r="80" spans="1:14" x14ac:dyDescent="0.25">
      <c r="A80" s="4">
        <v>77</v>
      </c>
      <c r="B80" s="56" t="s">
        <v>245</v>
      </c>
      <c r="C80" s="32">
        <v>42979</v>
      </c>
      <c r="D80" s="22"/>
      <c r="E80" s="22"/>
      <c r="F80" s="22"/>
      <c r="G80" s="22"/>
      <c r="H80" s="22"/>
      <c r="I80" s="22"/>
      <c r="J80" s="22">
        <f t="shared" si="8"/>
        <v>0</v>
      </c>
      <c r="K80" s="22">
        <f t="shared" si="9"/>
        <v>0</v>
      </c>
      <c r="L80" s="22">
        <f t="shared" si="10"/>
        <v>0</v>
      </c>
      <c r="M80" s="22">
        <f t="shared" si="11"/>
        <v>0</v>
      </c>
      <c r="N80" s="22"/>
    </row>
    <row r="81" spans="1:14" x14ac:dyDescent="0.25">
      <c r="A81" s="4">
        <v>78</v>
      </c>
      <c r="B81" s="23" t="s">
        <v>40</v>
      </c>
      <c r="C81" s="32">
        <v>39083</v>
      </c>
      <c r="D81" s="26">
        <v>42736</v>
      </c>
      <c r="E81" s="26">
        <v>42795</v>
      </c>
      <c r="F81" s="22"/>
      <c r="G81" s="22"/>
      <c r="H81" s="22"/>
      <c r="I81" s="22"/>
      <c r="J81" s="22">
        <f t="shared" si="8"/>
        <v>59</v>
      </c>
      <c r="K81" s="22">
        <f t="shared" si="9"/>
        <v>0</v>
      </c>
      <c r="L81" s="22">
        <f t="shared" si="10"/>
        <v>0</v>
      </c>
      <c r="M81" s="22">
        <f t="shared" si="11"/>
        <v>59</v>
      </c>
      <c r="N81" s="22"/>
    </row>
    <row r="82" spans="1:14" x14ac:dyDescent="0.25">
      <c r="A82" s="4">
        <v>79</v>
      </c>
      <c r="B82" s="56" t="s">
        <v>237</v>
      </c>
      <c r="C82" s="32">
        <v>42856</v>
      </c>
      <c r="D82" s="26"/>
      <c r="E82" s="26"/>
      <c r="F82" s="22"/>
      <c r="G82" s="22"/>
      <c r="H82" s="22"/>
      <c r="I82" s="22"/>
      <c r="J82" s="22">
        <f t="shared" si="8"/>
        <v>0</v>
      </c>
      <c r="K82" s="22">
        <f t="shared" si="9"/>
        <v>0</v>
      </c>
      <c r="L82" s="22">
        <f t="shared" si="10"/>
        <v>0</v>
      </c>
      <c r="M82" s="22">
        <f t="shared" si="11"/>
        <v>0</v>
      </c>
      <c r="N82" s="22"/>
    </row>
    <row r="83" spans="1:14" x14ac:dyDescent="0.25">
      <c r="A83" s="4">
        <v>80</v>
      </c>
      <c r="B83" s="56" t="s">
        <v>686</v>
      </c>
      <c r="C83" s="32">
        <v>42856</v>
      </c>
      <c r="D83" s="26"/>
      <c r="E83" s="26"/>
      <c r="F83" s="22"/>
      <c r="G83" s="22"/>
      <c r="H83" s="22"/>
      <c r="I83" s="22"/>
      <c r="J83" s="22">
        <f t="shared" si="8"/>
        <v>0</v>
      </c>
      <c r="K83" s="22">
        <f t="shared" si="9"/>
        <v>0</v>
      </c>
      <c r="L83" s="22">
        <f t="shared" si="10"/>
        <v>0</v>
      </c>
      <c r="M83" s="22">
        <f t="shared" si="11"/>
        <v>0</v>
      </c>
      <c r="N83" s="22"/>
    </row>
    <row r="84" spans="1:14" x14ac:dyDescent="0.25">
      <c r="A84" s="4">
        <v>81</v>
      </c>
      <c r="B84" s="1" t="s">
        <v>48</v>
      </c>
      <c r="C84" s="35">
        <v>39173</v>
      </c>
      <c r="D84" s="22"/>
      <c r="E84" s="22"/>
      <c r="F84" s="22"/>
      <c r="G84" s="22"/>
      <c r="H84" s="22"/>
      <c r="I84" s="22"/>
      <c r="J84" s="22">
        <f t="shared" si="8"/>
        <v>0</v>
      </c>
      <c r="K84" s="22">
        <f t="shared" si="9"/>
        <v>0</v>
      </c>
      <c r="L84" s="22">
        <f t="shared" si="10"/>
        <v>0</v>
      </c>
      <c r="M84" s="22">
        <f t="shared" si="11"/>
        <v>0</v>
      </c>
      <c r="N84" s="22"/>
    </row>
    <row r="85" spans="1:14" x14ac:dyDescent="0.25">
      <c r="A85" s="4">
        <v>82</v>
      </c>
      <c r="B85" s="1" t="s">
        <v>184</v>
      </c>
      <c r="C85" s="32">
        <v>41548</v>
      </c>
      <c r="D85" s="22"/>
      <c r="E85" s="22"/>
      <c r="F85" s="22"/>
      <c r="G85" s="22"/>
      <c r="H85" s="22"/>
      <c r="I85" s="22"/>
      <c r="J85" s="22">
        <f t="shared" si="8"/>
        <v>0</v>
      </c>
      <c r="K85" s="22">
        <f t="shared" si="9"/>
        <v>0</v>
      </c>
      <c r="L85" s="22">
        <f t="shared" si="10"/>
        <v>0</v>
      </c>
      <c r="M85" s="22">
        <f t="shared" si="11"/>
        <v>0</v>
      </c>
      <c r="N85" s="22"/>
    </row>
    <row r="86" spans="1:14" x14ac:dyDescent="0.25">
      <c r="A86" s="4">
        <v>83</v>
      </c>
      <c r="B86" s="1" t="s">
        <v>185</v>
      </c>
      <c r="C86" s="32">
        <v>41609</v>
      </c>
      <c r="D86" s="22"/>
      <c r="E86" s="22"/>
      <c r="F86" s="22"/>
      <c r="G86" s="22"/>
      <c r="H86" s="22"/>
      <c r="I86" s="22"/>
      <c r="J86" s="22">
        <f t="shared" si="8"/>
        <v>0</v>
      </c>
      <c r="K86" s="22">
        <f t="shared" si="9"/>
        <v>0</v>
      </c>
      <c r="L86" s="22">
        <f t="shared" si="10"/>
        <v>0</v>
      </c>
      <c r="M86" s="22">
        <f t="shared" si="11"/>
        <v>0</v>
      </c>
      <c r="N86" s="22"/>
    </row>
    <row r="87" spans="1:14" x14ac:dyDescent="0.25">
      <c r="A87" s="4">
        <v>84</v>
      </c>
      <c r="B87" s="1" t="s">
        <v>43</v>
      </c>
      <c r="C87" s="32">
        <v>40210</v>
      </c>
      <c r="D87" s="26">
        <v>42814</v>
      </c>
      <c r="E87" s="26">
        <v>42940</v>
      </c>
      <c r="F87" s="22"/>
      <c r="G87" s="22"/>
      <c r="H87" s="22"/>
      <c r="I87" s="22"/>
      <c r="J87" s="22">
        <f t="shared" si="8"/>
        <v>126</v>
      </c>
      <c r="K87" s="22">
        <f t="shared" si="9"/>
        <v>0</v>
      </c>
      <c r="L87" s="22">
        <f t="shared" si="10"/>
        <v>0</v>
      </c>
      <c r="M87" s="22">
        <f t="shared" si="11"/>
        <v>126</v>
      </c>
      <c r="N87" s="22"/>
    </row>
    <row r="88" spans="1:14" x14ac:dyDescent="0.25">
      <c r="A88" s="4">
        <v>85</v>
      </c>
      <c r="B88" s="1" t="s">
        <v>44</v>
      </c>
      <c r="C88" s="32">
        <v>39083</v>
      </c>
      <c r="D88" s="26">
        <v>42736</v>
      </c>
      <c r="E88" s="26">
        <v>42751</v>
      </c>
      <c r="F88" s="22"/>
      <c r="G88" s="22"/>
      <c r="H88" s="22"/>
      <c r="I88" s="22"/>
      <c r="J88" s="22">
        <f t="shared" si="8"/>
        <v>15</v>
      </c>
      <c r="K88" s="22">
        <f t="shared" si="9"/>
        <v>0</v>
      </c>
      <c r="L88" s="22">
        <f t="shared" si="10"/>
        <v>0</v>
      </c>
      <c r="M88" s="22">
        <f t="shared" si="11"/>
        <v>15</v>
      </c>
      <c r="N88" s="22"/>
    </row>
    <row r="89" spans="1:14" x14ac:dyDescent="0.25">
      <c r="A89" s="4">
        <v>86</v>
      </c>
      <c r="B89" s="1" t="s">
        <v>46</v>
      </c>
      <c r="C89" s="32">
        <v>39083</v>
      </c>
      <c r="D89" s="22"/>
      <c r="E89" s="22"/>
      <c r="F89" s="22"/>
      <c r="G89" s="22"/>
      <c r="H89" s="22"/>
      <c r="I89" s="22"/>
      <c r="J89" s="22">
        <f t="shared" si="8"/>
        <v>0</v>
      </c>
      <c r="K89" s="22">
        <f t="shared" si="9"/>
        <v>0</v>
      </c>
      <c r="L89" s="22">
        <f t="shared" si="10"/>
        <v>0</v>
      </c>
      <c r="M89" s="22">
        <f t="shared" si="11"/>
        <v>0</v>
      </c>
      <c r="N89" s="22"/>
    </row>
    <row r="90" spans="1:14" x14ac:dyDescent="0.25">
      <c r="A90" s="4">
        <v>87</v>
      </c>
      <c r="B90" s="1" t="s">
        <v>49</v>
      </c>
      <c r="C90" s="32">
        <v>39326</v>
      </c>
      <c r="D90" s="22"/>
      <c r="E90" s="22"/>
      <c r="F90" s="22"/>
      <c r="G90" s="22"/>
      <c r="H90" s="22"/>
      <c r="I90" s="22"/>
      <c r="J90" s="22">
        <f t="shared" si="8"/>
        <v>0</v>
      </c>
      <c r="K90" s="22">
        <f t="shared" si="9"/>
        <v>0</v>
      </c>
      <c r="L90" s="22">
        <f t="shared" si="10"/>
        <v>0</v>
      </c>
      <c r="M90" s="22">
        <f t="shared" si="11"/>
        <v>0</v>
      </c>
      <c r="N90" s="22"/>
    </row>
    <row r="91" spans="1:14" x14ac:dyDescent="0.25">
      <c r="A91" s="4">
        <v>88</v>
      </c>
      <c r="B91" s="1" t="s">
        <v>51</v>
      </c>
      <c r="C91" s="32">
        <v>39783</v>
      </c>
      <c r="D91" s="26">
        <v>42895</v>
      </c>
      <c r="E91" s="26">
        <v>42957</v>
      </c>
      <c r="F91" s="22"/>
      <c r="G91" s="22"/>
      <c r="H91" s="22"/>
      <c r="I91" s="22"/>
      <c r="J91" s="22">
        <f t="shared" si="8"/>
        <v>62</v>
      </c>
      <c r="K91" s="22">
        <f t="shared" si="9"/>
        <v>0</v>
      </c>
      <c r="L91" s="22">
        <f t="shared" si="10"/>
        <v>0</v>
      </c>
      <c r="M91" s="22">
        <f t="shared" si="11"/>
        <v>62</v>
      </c>
      <c r="N91" s="22"/>
    </row>
    <row r="92" spans="1:14" x14ac:dyDescent="0.25">
      <c r="A92" s="4">
        <v>89</v>
      </c>
      <c r="B92" s="6" t="s">
        <v>52</v>
      </c>
      <c r="C92" s="32">
        <v>40544</v>
      </c>
      <c r="D92" s="22"/>
      <c r="E92" s="22"/>
      <c r="F92" s="22"/>
      <c r="G92" s="22"/>
      <c r="H92" s="22"/>
      <c r="I92" s="22"/>
      <c r="J92" s="22">
        <f t="shared" si="8"/>
        <v>0</v>
      </c>
      <c r="K92" s="22">
        <f t="shared" si="9"/>
        <v>0</v>
      </c>
      <c r="L92" s="22">
        <f t="shared" si="10"/>
        <v>0</v>
      </c>
      <c r="M92" s="22">
        <f t="shared" si="11"/>
        <v>0</v>
      </c>
      <c r="N92" s="22"/>
    </row>
    <row r="93" spans="1:14" x14ac:dyDescent="0.25">
      <c r="A93" s="4">
        <v>90</v>
      </c>
      <c r="B93" s="6" t="s">
        <v>53</v>
      </c>
      <c r="C93" s="32">
        <v>40664</v>
      </c>
      <c r="D93" s="26">
        <v>42979</v>
      </c>
      <c r="E93" s="26">
        <v>43067</v>
      </c>
      <c r="F93" s="22"/>
      <c r="G93" s="22"/>
      <c r="H93" s="22"/>
      <c r="I93" s="22"/>
      <c r="J93" s="22">
        <f t="shared" si="8"/>
        <v>88</v>
      </c>
      <c r="K93" s="22">
        <f t="shared" si="9"/>
        <v>0</v>
      </c>
      <c r="L93" s="22">
        <f t="shared" si="10"/>
        <v>0</v>
      </c>
      <c r="M93" s="22">
        <f t="shared" si="11"/>
        <v>88</v>
      </c>
      <c r="N93" s="22"/>
    </row>
    <row r="94" spans="1:14" x14ac:dyDescent="0.25">
      <c r="A94" s="4">
        <v>91</v>
      </c>
      <c r="B94" s="6" t="s">
        <v>54</v>
      </c>
      <c r="C94" s="32">
        <v>40695</v>
      </c>
      <c r="D94" s="22"/>
      <c r="E94" s="22"/>
      <c r="F94" s="22"/>
      <c r="G94" s="22"/>
      <c r="H94" s="22"/>
      <c r="I94" s="22"/>
      <c r="J94" s="22">
        <f t="shared" si="8"/>
        <v>0</v>
      </c>
      <c r="K94" s="22">
        <f t="shared" si="9"/>
        <v>0</v>
      </c>
      <c r="L94" s="22">
        <f t="shared" si="10"/>
        <v>0</v>
      </c>
      <c r="M94" s="22">
        <f t="shared" si="11"/>
        <v>0</v>
      </c>
      <c r="N94" s="22"/>
    </row>
    <row r="95" spans="1:14" x14ac:dyDescent="0.25">
      <c r="A95" s="4">
        <v>92</v>
      </c>
      <c r="B95" s="6" t="s">
        <v>55</v>
      </c>
      <c r="C95" s="32">
        <v>40848</v>
      </c>
      <c r="D95" s="22"/>
      <c r="E95" s="22"/>
      <c r="F95" s="22"/>
      <c r="G95" s="22"/>
      <c r="H95" s="22"/>
      <c r="I95" s="22"/>
      <c r="J95" s="22">
        <f t="shared" si="8"/>
        <v>0</v>
      </c>
      <c r="K95" s="22">
        <f t="shared" si="9"/>
        <v>0</v>
      </c>
      <c r="L95" s="22">
        <f t="shared" si="10"/>
        <v>0</v>
      </c>
      <c r="M95" s="22">
        <f t="shared" si="11"/>
        <v>0</v>
      </c>
      <c r="N95" s="22"/>
    </row>
    <row r="96" spans="1:14" x14ac:dyDescent="0.25">
      <c r="A96" s="4">
        <v>93</v>
      </c>
      <c r="B96" s="6" t="s">
        <v>186</v>
      </c>
      <c r="C96" s="32">
        <v>41791</v>
      </c>
      <c r="D96" s="26">
        <v>42839</v>
      </c>
      <c r="E96" s="26">
        <v>42920</v>
      </c>
      <c r="F96" s="22"/>
      <c r="G96" s="22"/>
      <c r="H96" s="22"/>
      <c r="I96" s="22"/>
      <c r="J96" s="22">
        <f t="shared" si="8"/>
        <v>81</v>
      </c>
      <c r="K96" s="22">
        <f t="shared" si="9"/>
        <v>0</v>
      </c>
      <c r="L96" s="22">
        <f t="shared" si="10"/>
        <v>0</v>
      </c>
      <c r="M96" s="22">
        <f t="shared" si="11"/>
        <v>81</v>
      </c>
      <c r="N96" s="22" t="s">
        <v>246</v>
      </c>
    </row>
    <row r="97" spans="1:14" x14ac:dyDescent="0.25">
      <c r="A97" s="4">
        <v>94</v>
      </c>
      <c r="B97" s="41" t="s">
        <v>188</v>
      </c>
      <c r="C97" s="32">
        <v>41852</v>
      </c>
      <c r="D97" s="26">
        <v>42949</v>
      </c>
      <c r="E97" s="26">
        <v>43013</v>
      </c>
      <c r="F97" s="22"/>
      <c r="G97" s="22"/>
      <c r="H97" s="22"/>
      <c r="I97" s="22"/>
      <c r="J97" s="22">
        <f t="shared" si="8"/>
        <v>64</v>
      </c>
      <c r="K97" s="22">
        <f t="shared" si="9"/>
        <v>0</v>
      </c>
      <c r="L97" s="22">
        <f t="shared" si="10"/>
        <v>0</v>
      </c>
      <c r="M97" s="22">
        <f t="shared" si="11"/>
        <v>64</v>
      </c>
      <c r="N97" s="22"/>
    </row>
    <row r="98" spans="1:14" x14ac:dyDescent="0.25">
      <c r="A98" s="4">
        <v>95</v>
      </c>
      <c r="B98" s="6" t="s">
        <v>203</v>
      </c>
      <c r="C98" s="32">
        <v>42156</v>
      </c>
      <c r="D98" s="26">
        <v>42795</v>
      </c>
      <c r="E98" s="26">
        <v>42853</v>
      </c>
      <c r="F98" s="22"/>
      <c r="G98" s="22"/>
      <c r="H98" s="22"/>
      <c r="I98" s="22"/>
      <c r="J98" s="22">
        <f t="shared" si="8"/>
        <v>58</v>
      </c>
      <c r="K98" s="22">
        <f t="shared" si="9"/>
        <v>0</v>
      </c>
      <c r="L98" s="22">
        <f t="shared" si="10"/>
        <v>0</v>
      </c>
      <c r="M98" s="22">
        <f t="shared" si="11"/>
        <v>58</v>
      </c>
      <c r="N98" s="22"/>
    </row>
    <row r="99" spans="1:14" x14ac:dyDescent="0.25">
      <c r="A99" s="4">
        <v>96</v>
      </c>
      <c r="B99" s="6" t="s">
        <v>204</v>
      </c>
      <c r="C99" s="32">
        <v>42140</v>
      </c>
      <c r="D99" s="22"/>
      <c r="E99" s="22"/>
      <c r="F99" s="22"/>
      <c r="G99" s="22"/>
      <c r="H99" s="22"/>
      <c r="I99" s="22"/>
      <c r="J99" s="22">
        <f t="shared" si="8"/>
        <v>0</v>
      </c>
      <c r="K99" s="22">
        <f t="shared" si="9"/>
        <v>0</v>
      </c>
      <c r="L99" s="22">
        <f t="shared" si="10"/>
        <v>0</v>
      </c>
      <c r="M99" s="22">
        <f t="shared" si="11"/>
        <v>0</v>
      </c>
      <c r="N99" s="22"/>
    </row>
    <row r="100" spans="1:14" x14ac:dyDescent="0.25">
      <c r="A100" s="4">
        <v>97</v>
      </c>
      <c r="B100" s="54" t="s">
        <v>220</v>
      </c>
      <c r="C100" s="55">
        <v>42461</v>
      </c>
      <c r="D100" s="22"/>
      <c r="E100" s="22"/>
      <c r="F100" s="22"/>
      <c r="G100" s="22"/>
      <c r="H100" s="22"/>
      <c r="I100" s="22"/>
      <c r="J100" s="22">
        <f t="shared" si="8"/>
        <v>0</v>
      </c>
      <c r="K100" s="22">
        <f t="shared" si="9"/>
        <v>0</v>
      </c>
      <c r="L100" s="22">
        <f t="shared" si="10"/>
        <v>0</v>
      </c>
      <c r="M100" s="22">
        <f t="shared" si="11"/>
        <v>0</v>
      </c>
      <c r="N100" s="22"/>
    </row>
    <row r="101" spans="1:14" x14ac:dyDescent="0.25">
      <c r="A101" s="4">
        <v>98</v>
      </c>
      <c r="B101" s="6" t="s">
        <v>248</v>
      </c>
      <c r="C101" s="55">
        <v>43040</v>
      </c>
      <c r="D101" s="22"/>
      <c r="E101" s="22"/>
      <c r="F101" s="22"/>
      <c r="G101" s="22"/>
      <c r="H101" s="22"/>
      <c r="I101" s="22"/>
      <c r="J101" s="22">
        <f>E101-D101</f>
        <v>0</v>
      </c>
      <c r="K101" s="22">
        <f>G101-F101</f>
        <v>0</v>
      </c>
      <c r="L101" s="22">
        <f>I101-H101</f>
        <v>0</v>
      </c>
      <c r="M101" s="22">
        <f>J101+K101+L101</f>
        <v>0</v>
      </c>
      <c r="N101" s="22"/>
    </row>
    <row r="102" spans="1:14" x14ac:dyDescent="0.25">
      <c r="A102" s="4">
        <v>99</v>
      </c>
      <c r="B102" s="6" t="s">
        <v>249</v>
      </c>
      <c r="C102" s="55">
        <v>43040</v>
      </c>
      <c r="D102" s="22"/>
      <c r="E102" s="22"/>
      <c r="F102" s="22"/>
      <c r="G102" s="22"/>
      <c r="H102" s="22"/>
      <c r="I102" s="22"/>
      <c r="J102" s="22">
        <f>E102-D102</f>
        <v>0</v>
      </c>
      <c r="K102" s="22">
        <f>G102-F102</f>
        <v>0</v>
      </c>
      <c r="L102" s="22">
        <f>I102-H102</f>
        <v>0</v>
      </c>
      <c r="M102" s="22">
        <f>J102+K102+L102</f>
        <v>0</v>
      </c>
      <c r="N102" s="22"/>
    </row>
  </sheetData>
  <mergeCells count="3">
    <mergeCell ref="D3:E3"/>
    <mergeCell ref="F3:G3"/>
    <mergeCell ref="H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89"/>
  <sheetViews>
    <sheetView workbookViewId="0">
      <selection activeCell="J4" sqref="J4:K4"/>
    </sheetView>
  </sheetViews>
  <sheetFormatPr defaultRowHeight="15" x14ac:dyDescent="0.25"/>
  <cols>
    <col min="1" max="1" width="3.28515625" style="49" bestFit="1" customWidth="1"/>
    <col min="2" max="2" width="4.42578125" bestFit="1" customWidth="1"/>
    <col min="3" max="3" width="35" style="50" bestFit="1" customWidth="1"/>
    <col min="4" max="7" width="10.7109375" bestFit="1" customWidth="1"/>
    <col min="14" max="14" width="18.28515625" style="37" customWidth="1"/>
  </cols>
  <sheetData>
    <row r="1" spans="1:14" x14ac:dyDescent="0.25">
      <c r="A1"/>
      <c r="B1" s="22"/>
      <c r="C1" s="22"/>
      <c r="D1" s="150" t="s">
        <v>127</v>
      </c>
      <c r="E1" s="150"/>
      <c r="F1" s="150" t="s">
        <v>128</v>
      </c>
      <c r="G1" s="150"/>
      <c r="H1" s="150" t="s">
        <v>215</v>
      </c>
      <c r="I1" s="150"/>
      <c r="J1" s="22">
        <v>1</v>
      </c>
      <c r="K1" s="22">
        <v>2</v>
      </c>
      <c r="L1" s="22">
        <v>3</v>
      </c>
      <c r="M1" s="22" t="s">
        <v>72</v>
      </c>
      <c r="N1" s="51" t="s">
        <v>217</v>
      </c>
    </row>
    <row r="2" spans="1:14" x14ac:dyDescent="0.25">
      <c r="A2" s="17" t="s">
        <v>208</v>
      </c>
      <c r="B2" s="151" t="s">
        <v>126</v>
      </c>
      <c r="C2" s="151"/>
      <c r="D2" s="22"/>
      <c r="E2" s="22"/>
      <c r="F2" s="22"/>
      <c r="G2" s="22"/>
      <c r="H2" s="22"/>
      <c r="I2" s="22"/>
      <c r="J2" s="28">
        <f>E2-D2</f>
        <v>0</v>
      </c>
      <c r="K2" s="28">
        <f>G2-F2</f>
        <v>0</v>
      </c>
      <c r="L2" s="28">
        <f>I2-H2</f>
        <v>0</v>
      </c>
      <c r="M2" s="28">
        <f>J2+K2+L2</f>
        <v>0</v>
      </c>
      <c r="N2" s="51"/>
    </row>
    <row r="3" spans="1:14" x14ac:dyDescent="0.25">
      <c r="A3" s="27"/>
      <c r="B3" s="3"/>
      <c r="C3" s="9"/>
      <c r="D3" s="22"/>
      <c r="E3" s="22"/>
      <c r="F3" s="22"/>
      <c r="G3" s="22"/>
      <c r="H3" s="22"/>
      <c r="I3" s="22"/>
      <c r="J3" s="28">
        <f t="shared" ref="J3:J70" si="0">E3-D3</f>
        <v>0</v>
      </c>
      <c r="K3" s="28">
        <f t="shared" ref="K3:K70" si="1">G3-F3</f>
        <v>0</v>
      </c>
      <c r="L3" s="28">
        <f t="shared" ref="L3:L70" si="2">I3-H3</f>
        <v>0</v>
      </c>
      <c r="M3" s="28">
        <f t="shared" ref="M3:M70" si="3">J3+K3+L3</f>
        <v>0</v>
      </c>
      <c r="N3" s="51"/>
    </row>
    <row r="4" spans="1:14" x14ac:dyDescent="0.25">
      <c r="A4" s="27">
        <v>1</v>
      </c>
      <c r="B4" s="4" t="s">
        <v>209</v>
      </c>
      <c r="C4" s="6" t="s">
        <v>1</v>
      </c>
      <c r="D4" s="26">
        <v>42490</v>
      </c>
      <c r="E4" s="26">
        <v>42500</v>
      </c>
      <c r="F4" s="26">
        <v>42550</v>
      </c>
      <c r="G4" s="26">
        <v>42573</v>
      </c>
      <c r="H4" s="22"/>
      <c r="I4" s="22"/>
      <c r="J4" s="28">
        <f>E4-D4</f>
        <v>10</v>
      </c>
      <c r="K4" s="28">
        <f t="shared" si="1"/>
        <v>23</v>
      </c>
      <c r="L4" s="28">
        <f t="shared" si="2"/>
        <v>0</v>
      </c>
      <c r="M4" s="28">
        <f t="shared" si="3"/>
        <v>33</v>
      </c>
      <c r="N4" s="51"/>
    </row>
    <row r="5" spans="1:14" x14ac:dyDescent="0.25">
      <c r="A5" s="27">
        <v>2</v>
      </c>
      <c r="B5" s="4" t="s">
        <v>209</v>
      </c>
      <c r="C5" s="6" t="s">
        <v>192</v>
      </c>
      <c r="D5" s="26">
        <v>42433</v>
      </c>
      <c r="E5" s="26">
        <v>42453</v>
      </c>
      <c r="F5" s="22"/>
      <c r="G5" s="22"/>
      <c r="H5" s="22"/>
      <c r="I5" s="22"/>
      <c r="J5" s="28">
        <f t="shared" si="0"/>
        <v>20</v>
      </c>
      <c r="K5" s="28">
        <f t="shared" si="1"/>
        <v>0</v>
      </c>
      <c r="L5" s="28">
        <f t="shared" si="2"/>
        <v>0</v>
      </c>
      <c r="M5" s="28">
        <f t="shared" si="3"/>
        <v>20</v>
      </c>
      <c r="N5" s="51"/>
    </row>
    <row r="6" spans="1:14" x14ac:dyDescent="0.25">
      <c r="A6" s="27">
        <v>3</v>
      </c>
      <c r="B6" s="4" t="s">
        <v>209</v>
      </c>
      <c r="C6" s="6" t="s">
        <v>179</v>
      </c>
      <c r="D6" s="26">
        <v>42399</v>
      </c>
      <c r="E6" s="26">
        <v>42422</v>
      </c>
      <c r="F6" s="22"/>
      <c r="G6" s="22"/>
      <c r="H6" s="22"/>
      <c r="I6" s="22"/>
      <c r="J6" s="28">
        <f t="shared" si="0"/>
        <v>23</v>
      </c>
      <c r="K6" s="28">
        <f t="shared" si="1"/>
        <v>0</v>
      </c>
      <c r="L6" s="28">
        <f t="shared" si="2"/>
        <v>0</v>
      </c>
      <c r="M6" s="28">
        <f t="shared" si="3"/>
        <v>23</v>
      </c>
      <c r="N6" s="51"/>
    </row>
    <row r="7" spans="1:14" x14ac:dyDescent="0.25">
      <c r="A7" s="27">
        <v>4</v>
      </c>
      <c r="B7" s="4" t="s">
        <v>209</v>
      </c>
      <c r="C7" s="5" t="s">
        <v>180</v>
      </c>
      <c r="D7" s="26">
        <v>42643</v>
      </c>
      <c r="E7" s="26">
        <v>42689</v>
      </c>
      <c r="F7" s="22"/>
      <c r="G7" s="22"/>
      <c r="H7" s="22"/>
      <c r="I7" s="22"/>
      <c r="J7" s="28">
        <f t="shared" si="0"/>
        <v>46</v>
      </c>
      <c r="K7" s="28">
        <f t="shared" si="1"/>
        <v>0</v>
      </c>
      <c r="L7" s="28">
        <f t="shared" si="2"/>
        <v>0</v>
      </c>
      <c r="M7" s="28">
        <f t="shared" si="3"/>
        <v>46</v>
      </c>
      <c r="N7" s="51"/>
    </row>
    <row r="8" spans="1:14" x14ac:dyDescent="0.25">
      <c r="A8" s="27">
        <v>5</v>
      </c>
      <c r="B8" s="48" t="s">
        <v>210</v>
      </c>
      <c r="C8" s="5" t="s">
        <v>193</v>
      </c>
      <c r="D8" s="26">
        <v>42577</v>
      </c>
      <c r="E8" s="26">
        <v>42581</v>
      </c>
      <c r="F8" s="22"/>
      <c r="G8" s="22"/>
      <c r="H8" s="22"/>
      <c r="I8" s="22"/>
      <c r="J8" s="28">
        <f t="shared" si="0"/>
        <v>4</v>
      </c>
      <c r="K8" s="28">
        <f t="shared" si="1"/>
        <v>0</v>
      </c>
      <c r="L8" s="28">
        <f t="shared" si="2"/>
        <v>0</v>
      </c>
      <c r="M8" s="28">
        <f t="shared" si="3"/>
        <v>4</v>
      </c>
      <c r="N8" s="51"/>
    </row>
    <row r="9" spans="1:14" x14ac:dyDescent="0.25">
      <c r="A9" s="27">
        <v>6</v>
      </c>
      <c r="B9" s="48" t="s">
        <v>211</v>
      </c>
      <c r="C9" s="5" t="s">
        <v>212</v>
      </c>
      <c r="D9" s="26">
        <v>42692</v>
      </c>
      <c r="E9" s="26">
        <v>42706</v>
      </c>
      <c r="F9" s="22"/>
      <c r="G9" s="22"/>
      <c r="H9" s="22"/>
      <c r="I9" s="22"/>
      <c r="J9" s="28">
        <f t="shared" si="0"/>
        <v>14</v>
      </c>
      <c r="K9" s="28">
        <f t="shared" si="1"/>
        <v>0</v>
      </c>
      <c r="L9" s="28">
        <f t="shared" si="2"/>
        <v>0</v>
      </c>
      <c r="M9" s="28">
        <f t="shared" si="3"/>
        <v>14</v>
      </c>
      <c r="N9" s="51"/>
    </row>
    <row r="10" spans="1:14" x14ac:dyDescent="0.25">
      <c r="A10" s="27">
        <v>7</v>
      </c>
      <c r="B10" s="4" t="s">
        <v>209</v>
      </c>
      <c r="C10" s="6" t="s">
        <v>5</v>
      </c>
      <c r="D10" s="22"/>
      <c r="E10" s="22"/>
      <c r="F10" s="22"/>
      <c r="G10" s="22"/>
      <c r="H10" s="22"/>
      <c r="I10" s="22"/>
      <c r="J10" s="28">
        <f t="shared" si="0"/>
        <v>0</v>
      </c>
      <c r="K10" s="28">
        <f t="shared" si="1"/>
        <v>0</v>
      </c>
      <c r="L10" s="28">
        <f t="shared" si="2"/>
        <v>0</v>
      </c>
      <c r="M10" s="28">
        <f t="shared" si="3"/>
        <v>0</v>
      </c>
      <c r="N10" s="51"/>
    </row>
    <row r="11" spans="1:14" x14ac:dyDescent="0.25">
      <c r="A11" s="27">
        <v>8</v>
      </c>
      <c r="B11" s="3" t="s">
        <v>209</v>
      </c>
      <c r="C11" s="2" t="s">
        <v>6</v>
      </c>
      <c r="D11" s="26">
        <v>42573</v>
      </c>
      <c r="E11" s="26">
        <v>42578</v>
      </c>
      <c r="F11" s="22"/>
      <c r="G11" s="22"/>
      <c r="H11" s="22"/>
      <c r="I11" s="22"/>
      <c r="J11" s="28">
        <f t="shared" si="0"/>
        <v>5</v>
      </c>
      <c r="K11" s="28">
        <f t="shared" si="1"/>
        <v>0</v>
      </c>
      <c r="L11" s="28">
        <f t="shared" si="2"/>
        <v>0</v>
      </c>
      <c r="M11" s="28">
        <f t="shared" si="3"/>
        <v>5</v>
      </c>
      <c r="N11" s="51"/>
    </row>
    <row r="12" spans="1:14" x14ac:dyDescent="0.25">
      <c r="A12" s="27">
        <v>9</v>
      </c>
      <c r="B12" s="48" t="s">
        <v>209</v>
      </c>
      <c r="C12" s="5" t="s">
        <v>9</v>
      </c>
      <c r="D12" s="26">
        <v>42583</v>
      </c>
      <c r="E12" s="26">
        <v>42652</v>
      </c>
      <c r="F12" s="22"/>
      <c r="G12" s="22"/>
      <c r="H12" s="22"/>
      <c r="I12" s="22"/>
      <c r="J12" s="28">
        <f t="shared" si="0"/>
        <v>69</v>
      </c>
      <c r="K12" s="28">
        <f t="shared" si="1"/>
        <v>0</v>
      </c>
      <c r="L12" s="28">
        <f t="shared" si="2"/>
        <v>0</v>
      </c>
      <c r="M12" s="28">
        <f t="shared" si="3"/>
        <v>69</v>
      </c>
      <c r="N12" s="51"/>
    </row>
    <row r="13" spans="1:14" x14ac:dyDescent="0.25">
      <c r="A13" s="27">
        <v>10</v>
      </c>
      <c r="B13" s="48" t="s">
        <v>209</v>
      </c>
      <c r="C13" s="5" t="s">
        <v>194</v>
      </c>
      <c r="D13" s="22"/>
      <c r="E13" s="22"/>
      <c r="F13" s="22"/>
      <c r="G13" s="22"/>
      <c r="H13" s="22"/>
      <c r="I13" s="22"/>
      <c r="J13" s="28">
        <f t="shared" si="0"/>
        <v>0</v>
      </c>
      <c r="K13" s="28">
        <f t="shared" si="1"/>
        <v>0</v>
      </c>
      <c r="L13" s="28">
        <f t="shared" si="2"/>
        <v>0</v>
      </c>
      <c r="M13" s="28">
        <f t="shared" si="3"/>
        <v>0</v>
      </c>
      <c r="N13" s="51"/>
    </row>
    <row r="14" spans="1:14" x14ac:dyDescent="0.25">
      <c r="A14" s="27">
        <v>11</v>
      </c>
      <c r="B14" s="9" t="s">
        <v>209</v>
      </c>
      <c r="C14" s="7" t="s">
        <v>10</v>
      </c>
      <c r="D14" s="26">
        <v>42505</v>
      </c>
      <c r="E14" s="26">
        <v>42520</v>
      </c>
      <c r="F14" s="26">
        <v>42714</v>
      </c>
      <c r="G14" s="26">
        <v>42733</v>
      </c>
      <c r="H14" s="22"/>
      <c r="I14" s="22"/>
      <c r="J14" s="28">
        <f t="shared" si="0"/>
        <v>15</v>
      </c>
      <c r="K14" s="28">
        <f t="shared" si="1"/>
        <v>19</v>
      </c>
      <c r="L14" s="28">
        <f t="shared" si="2"/>
        <v>0</v>
      </c>
      <c r="M14" s="28">
        <f t="shared" si="3"/>
        <v>34</v>
      </c>
      <c r="N14" s="51"/>
    </row>
    <row r="15" spans="1:14" x14ac:dyDescent="0.25">
      <c r="A15" s="27">
        <v>12</v>
      </c>
      <c r="B15" s="4" t="s">
        <v>209</v>
      </c>
      <c r="C15" s="6" t="s">
        <v>11</v>
      </c>
      <c r="D15" s="26">
        <v>42559</v>
      </c>
      <c r="E15" s="26">
        <v>42582</v>
      </c>
      <c r="F15" s="22"/>
      <c r="G15" s="22"/>
      <c r="H15" s="22"/>
      <c r="I15" s="22"/>
      <c r="J15" s="28">
        <f t="shared" si="0"/>
        <v>23</v>
      </c>
      <c r="K15" s="28">
        <f t="shared" si="1"/>
        <v>0</v>
      </c>
      <c r="L15" s="28">
        <f t="shared" si="2"/>
        <v>0</v>
      </c>
      <c r="M15" s="28">
        <f t="shared" si="3"/>
        <v>23</v>
      </c>
      <c r="N15" s="51"/>
    </row>
    <row r="16" spans="1:14" x14ac:dyDescent="0.25">
      <c r="A16" s="27">
        <v>13</v>
      </c>
      <c r="B16" s="48" t="s">
        <v>209</v>
      </c>
      <c r="C16" s="1" t="s">
        <v>12</v>
      </c>
      <c r="D16" s="26">
        <v>42483</v>
      </c>
      <c r="E16" s="26">
        <v>42494</v>
      </c>
      <c r="F16" s="22"/>
      <c r="G16" s="22"/>
      <c r="H16" s="22"/>
      <c r="I16" s="22"/>
      <c r="J16" s="28">
        <f t="shared" si="0"/>
        <v>11</v>
      </c>
      <c r="K16" s="28">
        <f t="shared" si="1"/>
        <v>0</v>
      </c>
      <c r="L16" s="28">
        <f t="shared" si="2"/>
        <v>0</v>
      </c>
      <c r="M16" s="28">
        <f t="shared" si="3"/>
        <v>11</v>
      </c>
      <c r="N16" s="51"/>
    </row>
    <row r="17" spans="1:14" x14ac:dyDescent="0.25">
      <c r="A17" s="27">
        <v>14</v>
      </c>
      <c r="B17" s="48" t="s">
        <v>209</v>
      </c>
      <c r="C17" s="1" t="s">
        <v>13</v>
      </c>
      <c r="D17" s="26">
        <v>42451</v>
      </c>
      <c r="E17" s="26">
        <v>42455</v>
      </c>
      <c r="F17" s="22"/>
      <c r="G17" s="22"/>
      <c r="H17" s="22"/>
      <c r="I17" s="22"/>
      <c r="J17" s="28">
        <f t="shared" si="0"/>
        <v>4</v>
      </c>
      <c r="K17" s="28">
        <f t="shared" si="1"/>
        <v>0</v>
      </c>
      <c r="L17" s="28">
        <f t="shared" si="2"/>
        <v>0</v>
      </c>
      <c r="M17" s="28">
        <f t="shared" si="3"/>
        <v>4</v>
      </c>
      <c r="N17" s="51"/>
    </row>
    <row r="18" spans="1:14" x14ac:dyDescent="0.25">
      <c r="A18" s="27">
        <v>15</v>
      </c>
      <c r="B18" s="48" t="s">
        <v>209</v>
      </c>
      <c r="C18" s="1" t="s">
        <v>145</v>
      </c>
      <c r="D18" s="26">
        <v>42589</v>
      </c>
      <c r="E18" s="26">
        <v>42626</v>
      </c>
      <c r="F18" s="22"/>
      <c r="G18" s="22"/>
      <c r="H18" s="22"/>
      <c r="I18" s="22"/>
      <c r="J18" s="28">
        <f t="shared" si="0"/>
        <v>37</v>
      </c>
      <c r="K18" s="28">
        <f t="shared" si="1"/>
        <v>0</v>
      </c>
      <c r="L18" s="28">
        <f t="shared" si="2"/>
        <v>0</v>
      </c>
      <c r="M18" s="28">
        <f t="shared" si="3"/>
        <v>37</v>
      </c>
      <c r="N18" s="51"/>
    </row>
    <row r="19" spans="1:14" x14ac:dyDescent="0.25">
      <c r="A19" s="27">
        <v>16</v>
      </c>
      <c r="B19" s="48" t="s">
        <v>209</v>
      </c>
      <c r="C19" s="5" t="s">
        <v>16</v>
      </c>
      <c r="D19" s="26">
        <v>42370</v>
      </c>
      <c r="E19" s="26">
        <v>42420</v>
      </c>
      <c r="F19" s="26">
        <v>42608</v>
      </c>
      <c r="G19" s="26">
        <v>42612</v>
      </c>
      <c r="H19" s="22"/>
      <c r="I19" s="22"/>
      <c r="J19" s="28">
        <f t="shared" si="0"/>
        <v>50</v>
      </c>
      <c r="K19" s="28">
        <f t="shared" si="1"/>
        <v>4</v>
      </c>
      <c r="L19" s="28">
        <f t="shared" si="2"/>
        <v>0</v>
      </c>
      <c r="M19" s="28">
        <f t="shared" si="3"/>
        <v>54</v>
      </c>
      <c r="N19" s="51"/>
    </row>
    <row r="20" spans="1:14" x14ac:dyDescent="0.25">
      <c r="A20" s="27">
        <v>17</v>
      </c>
      <c r="B20" s="4" t="s">
        <v>209</v>
      </c>
      <c r="C20" s="6" t="s">
        <v>21</v>
      </c>
      <c r="D20" s="26">
        <v>42487</v>
      </c>
      <c r="E20" s="26">
        <v>42525</v>
      </c>
      <c r="F20" s="22"/>
      <c r="G20" s="22"/>
      <c r="H20" s="22"/>
      <c r="I20" s="22"/>
      <c r="J20" s="28">
        <f>E20-D20</f>
        <v>38</v>
      </c>
      <c r="K20" s="28">
        <f>G20-F20</f>
        <v>0</v>
      </c>
      <c r="L20" s="28">
        <f>I20-H20</f>
        <v>0</v>
      </c>
      <c r="M20" s="28">
        <f>J20+K20+L20</f>
        <v>38</v>
      </c>
      <c r="N20" s="51"/>
    </row>
    <row r="21" spans="1:14" x14ac:dyDescent="0.25">
      <c r="A21" s="27">
        <v>18</v>
      </c>
      <c r="B21" s="4" t="s">
        <v>209</v>
      </c>
      <c r="C21" s="6" t="s">
        <v>135</v>
      </c>
      <c r="D21" s="22"/>
      <c r="E21" s="22"/>
      <c r="F21" s="22"/>
      <c r="G21" s="22"/>
      <c r="H21" s="22"/>
      <c r="I21" s="22"/>
      <c r="J21" s="28">
        <f t="shared" si="0"/>
        <v>0</v>
      </c>
      <c r="K21" s="28">
        <f t="shared" si="1"/>
        <v>0</v>
      </c>
      <c r="L21" s="28">
        <f t="shared" si="2"/>
        <v>0</v>
      </c>
      <c r="M21" s="28">
        <f t="shared" si="3"/>
        <v>0</v>
      </c>
      <c r="N21" s="51"/>
    </row>
    <row r="22" spans="1:14" x14ac:dyDescent="0.25">
      <c r="A22" s="27">
        <v>19</v>
      </c>
      <c r="B22" s="4" t="s">
        <v>209</v>
      </c>
      <c r="C22" s="6" t="s">
        <v>162</v>
      </c>
      <c r="D22" s="26">
        <v>42370</v>
      </c>
      <c r="E22" s="26">
        <v>42406</v>
      </c>
      <c r="F22" s="26">
        <v>42678</v>
      </c>
      <c r="G22" s="26">
        <v>42690</v>
      </c>
      <c r="H22" s="22"/>
      <c r="I22" s="22"/>
      <c r="J22" s="28">
        <f t="shared" si="0"/>
        <v>36</v>
      </c>
      <c r="K22" s="28">
        <f t="shared" si="1"/>
        <v>12</v>
      </c>
      <c r="L22" s="28">
        <f t="shared" si="2"/>
        <v>0</v>
      </c>
      <c r="M22" s="28">
        <f t="shared" si="3"/>
        <v>48</v>
      </c>
      <c r="N22" s="51"/>
    </row>
    <row r="23" spans="1:14" x14ac:dyDescent="0.25">
      <c r="A23" s="27">
        <v>20</v>
      </c>
      <c r="B23" s="4" t="s">
        <v>209</v>
      </c>
      <c r="C23" s="6" t="s">
        <v>22</v>
      </c>
      <c r="D23" s="26">
        <v>42401</v>
      </c>
      <c r="E23" s="26">
        <v>42462</v>
      </c>
      <c r="F23" s="26">
        <v>42639</v>
      </c>
      <c r="G23" s="26">
        <v>42643</v>
      </c>
      <c r="H23" s="22"/>
      <c r="I23" s="22"/>
      <c r="J23" s="28">
        <f t="shared" si="0"/>
        <v>61</v>
      </c>
      <c r="K23" s="28">
        <f t="shared" si="1"/>
        <v>4</v>
      </c>
      <c r="L23" s="28">
        <f t="shared" si="2"/>
        <v>0</v>
      </c>
      <c r="M23" s="28">
        <f t="shared" si="3"/>
        <v>65</v>
      </c>
      <c r="N23" s="51"/>
    </row>
    <row r="24" spans="1:14" x14ac:dyDescent="0.25">
      <c r="A24" s="27">
        <v>21</v>
      </c>
      <c r="B24" s="4" t="s">
        <v>209</v>
      </c>
      <c r="C24" s="6" t="s">
        <v>25</v>
      </c>
      <c r="D24" s="26">
        <v>42675</v>
      </c>
      <c r="E24" s="26">
        <v>42707</v>
      </c>
      <c r="F24" s="22"/>
      <c r="G24" s="22"/>
      <c r="H24" s="22"/>
      <c r="I24" s="22"/>
      <c r="J24" s="28">
        <f t="shared" si="0"/>
        <v>32</v>
      </c>
      <c r="K24" s="28">
        <f t="shared" si="1"/>
        <v>0</v>
      </c>
      <c r="L24" s="28">
        <f t="shared" si="2"/>
        <v>0</v>
      </c>
      <c r="M24" s="28">
        <f t="shared" si="3"/>
        <v>32</v>
      </c>
      <c r="N24" s="51"/>
    </row>
    <row r="25" spans="1:14" x14ac:dyDescent="0.25">
      <c r="A25" s="27">
        <v>22</v>
      </c>
      <c r="B25" s="4" t="s">
        <v>209</v>
      </c>
      <c r="C25" s="6" t="s">
        <v>26</v>
      </c>
      <c r="D25" s="26">
        <v>42626</v>
      </c>
      <c r="E25" s="26">
        <v>42663</v>
      </c>
      <c r="F25" s="26">
        <v>42675</v>
      </c>
      <c r="G25" s="26">
        <v>42735</v>
      </c>
      <c r="H25" s="22"/>
      <c r="I25" s="22"/>
      <c r="J25" s="28">
        <f t="shared" si="0"/>
        <v>37</v>
      </c>
      <c r="K25" s="28">
        <f t="shared" si="1"/>
        <v>60</v>
      </c>
      <c r="L25" s="28">
        <f t="shared" si="2"/>
        <v>0</v>
      </c>
      <c r="M25" s="28">
        <f t="shared" si="3"/>
        <v>97</v>
      </c>
      <c r="N25" s="51" t="s">
        <v>216</v>
      </c>
    </row>
    <row r="26" spans="1:14" x14ac:dyDescent="0.25">
      <c r="A26" s="27">
        <v>23</v>
      </c>
      <c r="B26" s="4" t="s">
        <v>209</v>
      </c>
      <c r="C26" s="6" t="s">
        <v>136</v>
      </c>
      <c r="D26" s="26">
        <v>42713</v>
      </c>
      <c r="E26" s="26">
        <v>42735</v>
      </c>
      <c r="F26" s="22"/>
      <c r="G26" s="22"/>
      <c r="H26" s="22"/>
      <c r="I26" s="22"/>
      <c r="J26" s="28">
        <f t="shared" si="0"/>
        <v>22</v>
      </c>
      <c r="K26" s="28">
        <f t="shared" si="1"/>
        <v>0</v>
      </c>
      <c r="L26" s="28">
        <f t="shared" si="2"/>
        <v>0</v>
      </c>
      <c r="M26" s="28">
        <f t="shared" si="3"/>
        <v>22</v>
      </c>
      <c r="N26" s="51" t="s">
        <v>216</v>
      </c>
    </row>
    <row r="27" spans="1:14" x14ac:dyDescent="0.25">
      <c r="A27" s="27">
        <v>24</v>
      </c>
      <c r="B27" s="4" t="s">
        <v>209</v>
      </c>
      <c r="C27" s="6" t="s">
        <v>137</v>
      </c>
      <c r="D27" s="22"/>
      <c r="E27" s="22"/>
      <c r="F27" s="22"/>
      <c r="G27" s="22"/>
      <c r="H27" s="22"/>
      <c r="I27" s="22"/>
      <c r="J27" s="28">
        <f t="shared" si="0"/>
        <v>0</v>
      </c>
      <c r="K27" s="28">
        <f t="shared" si="1"/>
        <v>0</v>
      </c>
      <c r="L27" s="28">
        <f t="shared" si="2"/>
        <v>0</v>
      </c>
      <c r="M27" s="28">
        <f t="shared" si="3"/>
        <v>0</v>
      </c>
      <c r="N27" s="51"/>
    </row>
    <row r="28" spans="1:14" x14ac:dyDescent="0.25">
      <c r="A28" s="27">
        <v>25</v>
      </c>
      <c r="B28" s="4" t="s">
        <v>209</v>
      </c>
      <c r="C28" s="6" t="s">
        <v>138</v>
      </c>
      <c r="D28" s="26">
        <v>42422</v>
      </c>
      <c r="E28" s="26">
        <v>42432</v>
      </c>
      <c r="F28" s="26">
        <v>42699</v>
      </c>
      <c r="G28" s="26">
        <v>42735</v>
      </c>
      <c r="H28" s="22"/>
      <c r="I28" s="22"/>
      <c r="J28" s="28">
        <f t="shared" si="0"/>
        <v>10</v>
      </c>
      <c r="K28" s="28">
        <f t="shared" si="1"/>
        <v>36</v>
      </c>
      <c r="L28" s="28">
        <f t="shared" si="2"/>
        <v>0</v>
      </c>
      <c r="M28" s="28">
        <f t="shared" si="3"/>
        <v>46</v>
      </c>
      <c r="N28" s="51" t="s">
        <v>216</v>
      </c>
    </row>
    <row r="29" spans="1:14" x14ac:dyDescent="0.25">
      <c r="A29" s="27">
        <v>26</v>
      </c>
      <c r="B29" s="4" t="s">
        <v>209</v>
      </c>
      <c r="C29" s="6" t="s">
        <v>153</v>
      </c>
      <c r="D29" s="26">
        <v>42457</v>
      </c>
      <c r="E29" s="26">
        <v>42483</v>
      </c>
      <c r="F29" s="22"/>
      <c r="G29" s="22"/>
      <c r="H29" s="22"/>
      <c r="I29" s="22"/>
      <c r="J29" s="28">
        <f t="shared" si="0"/>
        <v>26</v>
      </c>
      <c r="K29" s="28">
        <f t="shared" si="1"/>
        <v>0</v>
      </c>
      <c r="L29" s="28">
        <f t="shared" si="2"/>
        <v>0</v>
      </c>
      <c r="M29" s="28">
        <f t="shared" si="3"/>
        <v>26</v>
      </c>
      <c r="N29" s="51"/>
    </row>
    <row r="30" spans="1:14" x14ac:dyDescent="0.25">
      <c r="A30" s="27">
        <v>27</v>
      </c>
      <c r="B30" s="48" t="s">
        <v>209</v>
      </c>
      <c r="C30" s="6" t="s">
        <v>161</v>
      </c>
      <c r="D30" s="22"/>
      <c r="E30" s="22"/>
      <c r="F30" s="22"/>
      <c r="G30" s="22"/>
      <c r="H30" s="22"/>
      <c r="I30" s="22"/>
      <c r="J30" s="28">
        <f t="shared" si="0"/>
        <v>0</v>
      </c>
      <c r="K30" s="28">
        <f t="shared" si="1"/>
        <v>0</v>
      </c>
      <c r="L30" s="28">
        <f t="shared" si="2"/>
        <v>0</v>
      </c>
      <c r="M30" s="28">
        <f t="shared" si="3"/>
        <v>0</v>
      </c>
      <c r="N30" s="51"/>
    </row>
    <row r="31" spans="1:14" x14ac:dyDescent="0.25">
      <c r="A31" s="27">
        <v>28</v>
      </c>
      <c r="B31" s="4" t="s">
        <v>209</v>
      </c>
      <c r="C31" s="6" t="s">
        <v>163</v>
      </c>
      <c r="D31" s="26">
        <v>42401</v>
      </c>
      <c r="E31" s="26">
        <v>42462</v>
      </c>
      <c r="F31" s="22"/>
      <c r="G31" s="22"/>
      <c r="H31" s="22"/>
      <c r="I31" s="22"/>
      <c r="J31" s="28">
        <f t="shared" si="0"/>
        <v>61</v>
      </c>
      <c r="K31" s="28">
        <f t="shared" si="1"/>
        <v>0</v>
      </c>
      <c r="L31" s="28">
        <f t="shared" si="2"/>
        <v>0</v>
      </c>
      <c r="M31" s="28">
        <f t="shared" si="3"/>
        <v>61</v>
      </c>
      <c r="N31" s="51"/>
    </row>
    <row r="32" spans="1:14" x14ac:dyDescent="0.25">
      <c r="A32" s="27">
        <v>29</v>
      </c>
      <c r="B32" s="4" t="s">
        <v>209</v>
      </c>
      <c r="C32" s="6" t="s">
        <v>164</v>
      </c>
      <c r="D32" s="26">
        <v>42373</v>
      </c>
      <c r="E32" s="26">
        <v>42470</v>
      </c>
      <c r="F32" s="22"/>
      <c r="G32" s="22"/>
      <c r="H32" s="22"/>
      <c r="I32" s="22"/>
      <c r="J32" s="28">
        <f t="shared" si="0"/>
        <v>97</v>
      </c>
      <c r="K32" s="28">
        <f t="shared" si="1"/>
        <v>0</v>
      </c>
      <c r="L32" s="28">
        <f t="shared" si="2"/>
        <v>0</v>
      </c>
      <c r="M32" s="28">
        <f t="shared" si="3"/>
        <v>97</v>
      </c>
      <c r="N32" s="51"/>
    </row>
    <row r="33" spans="1:14" x14ac:dyDescent="0.25">
      <c r="A33" s="27">
        <v>30</v>
      </c>
      <c r="B33" s="4" t="s">
        <v>209</v>
      </c>
      <c r="C33" s="6" t="s">
        <v>167</v>
      </c>
      <c r="D33" s="26">
        <v>42488</v>
      </c>
      <c r="E33" s="26">
        <v>42552</v>
      </c>
      <c r="F33" s="22"/>
      <c r="G33" s="22"/>
      <c r="H33" s="22"/>
      <c r="I33" s="22"/>
      <c r="J33" s="28">
        <f t="shared" si="0"/>
        <v>64</v>
      </c>
      <c r="K33" s="28">
        <f t="shared" si="1"/>
        <v>0</v>
      </c>
      <c r="L33" s="28">
        <f t="shared" si="2"/>
        <v>0</v>
      </c>
      <c r="M33" s="28">
        <f t="shared" si="3"/>
        <v>64</v>
      </c>
      <c r="N33" s="51"/>
    </row>
    <row r="34" spans="1:14" x14ac:dyDescent="0.25">
      <c r="A34" s="27">
        <v>31</v>
      </c>
      <c r="B34" s="4" t="s">
        <v>209</v>
      </c>
      <c r="C34" s="6" t="s">
        <v>213</v>
      </c>
      <c r="D34" s="22"/>
      <c r="E34" s="22"/>
      <c r="F34" s="22"/>
      <c r="G34" s="22"/>
      <c r="H34" s="22"/>
      <c r="I34" s="22"/>
      <c r="J34" s="28">
        <f t="shared" si="0"/>
        <v>0</v>
      </c>
      <c r="K34" s="28">
        <f t="shared" si="1"/>
        <v>0</v>
      </c>
      <c r="L34" s="28">
        <f t="shared" si="2"/>
        <v>0</v>
      </c>
      <c r="M34" s="28">
        <f t="shared" si="3"/>
        <v>0</v>
      </c>
      <c r="N34" s="51"/>
    </row>
    <row r="35" spans="1:14" x14ac:dyDescent="0.25">
      <c r="A35" s="27">
        <v>32</v>
      </c>
      <c r="B35" s="4" t="s">
        <v>209</v>
      </c>
      <c r="C35" s="6" t="s">
        <v>170</v>
      </c>
      <c r="D35" s="26">
        <v>42494</v>
      </c>
      <c r="E35" s="26">
        <v>42566</v>
      </c>
      <c r="F35" s="22"/>
      <c r="G35" s="22"/>
      <c r="H35" s="22"/>
      <c r="I35" s="22"/>
      <c r="J35" s="28">
        <f t="shared" si="0"/>
        <v>72</v>
      </c>
      <c r="K35" s="28">
        <f t="shared" si="1"/>
        <v>0</v>
      </c>
      <c r="L35" s="28">
        <f t="shared" si="2"/>
        <v>0</v>
      </c>
      <c r="M35" s="28">
        <f t="shared" si="3"/>
        <v>72</v>
      </c>
      <c r="N35" s="51"/>
    </row>
    <row r="36" spans="1:14" x14ac:dyDescent="0.25">
      <c r="A36" s="27">
        <v>33</v>
      </c>
      <c r="B36" s="48" t="s">
        <v>211</v>
      </c>
      <c r="C36" s="6" t="s">
        <v>175</v>
      </c>
      <c r="D36" s="26">
        <v>42513</v>
      </c>
      <c r="E36" s="26">
        <v>42582</v>
      </c>
      <c r="F36" s="22"/>
      <c r="G36" s="22"/>
      <c r="H36" s="22"/>
      <c r="I36" s="22"/>
      <c r="J36" s="28">
        <f t="shared" si="0"/>
        <v>69</v>
      </c>
      <c r="K36" s="28">
        <f t="shared" si="1"/>
        <v>0</v>
      </c>
      <c r="L36" s="28">
        <f t="shared" si="2"/>
        <v>0</v>
      </c>
      <c r="M36" s="28">
        <f t="shared" si="3"/>
        <v>69</v>
      </c>
      <c r="N36" s="51"/>
    </row>
    <row r="37" spans="1:14" x14ac:dyDescent="0.25">
      <c r="A37" s="27">
        <v>34</v>
      </c>
      <c r="B37" s="4" t="s">
        <v>211</v>
      </c>
      <c r="C37" s="6" t="s">
        <v>182</v>
      </c>
      <c r="D37" s="26">
        <v>42702</v>
      </c>
      <c r="E37" s="26">
        <v>42735</v>
      </c>
      <c r="F37" s="22"/>
      <c r="G37" s="22"/>
      <c r="H37" s="22"/>
      <c r="I37" s="22"/>
      <c r="J37" s="28">
        <f t="shared" si="0"/>
        <v>33</v>
      </c>
      <c r="K37" s="28">
        <f t="shared" si="1"/>
        <v>0</v>
      </c>
      <c r="L37" s="28">
        <f t="shared" si="2"/>
        <v>0</v>
      </c>
      <c r="M37" s="28">
        <f t="shared" si="3"/>
        <v>33</v>
      </c>
      <c r="N37" s="51" t="s">
        <v>216</v>
      </c>
    </row>
    <row r="38" spans="1:14" x14ac:dyDescent="0.25">
      <c r="A38" s="27">
        <v>35</v>
      </c>
      <c r="B38" s="4" t="s">
        <v>211</v>
      </c>
      <c r="C38" s="6" t="s">
        <v>183</v>
      </c>
      <c r="D38" s="22"/>
      <c r="E38" s="22"/>
      <c r="F38" s="22"/>
      <c r="G38" s="22"/>
      <c r="H38" s="22"/>
      <c r="I38" s="22"/>
      <c r="J38" s="28">
        <f t="shared" si="0"/>
        <v>0</v>
      </c>
      <c r="K38" s="28">
        <f t="shared" si="1"/>
        <v>0</v>
      </c>
      <c r="L38" s="28">
        <f t="shared" si="2"/>
        <v>0</v>
      </c>
      <c r="M38" s="28">
        <f t="shared" si="3"/>
        <v>0</v>
      </c>
      <c r="N38" s="51"/>
    </row>
    <row r="39" spans="1:14" x14ac:dyDescent="0.25">
      <c r="A39" s="27">
        <v>36</v>
      </c>
      <c r="B39" s="4" t="s">
        <v>211</v>
      </c>
      <c r="C39" s="6" t="s">
        <v>214</v>
      </c>
      <c r="D39" s="26">
        <v>42430</v>
      </c>
      <c r="E39" s="26">
        <v>42442</v>
      </c>
      <c r="F39" s="26">
        <v>42696</v>
      </c>
      <c r="G39" s="26">
        <v>42716</v>
      </c>
      <c r="H39" s="22"/>
      <c r="I39" s="22"/>
      <c r="J39" s="28">
        <f t="shared" si="0"/>
        <v>12</v>
      </c>
      <c r="K39" s="28">
        <f t="shared" si="1"/>
        <v>20</v>
      </c>
      <c r="L39" s="28">
        <f t="shared" si="2"/>
        <v>0</v>
      </c>
      <c r="M39" s="28">
        <f t="shared" si="3"/>
        <v>32</v>
      </c>
      <c r="N39" s="51"/>
    </row>
    <row r="40" spans="1:14" x14ac:dyDescent="0.25">
      <c r="A40" s="27">
        <v>37</v>
      </c>
      <c r="B40" s="4" t="s">
        <v>211</v>
      </c>
      <c r="C40" s="6" t="s">
        <v>196</v>
      </c>
      <c r="D40" s="22"/>
      <c r="E40" s="22"/>
      <c r="F40" s="22"/>
      <c r="G40" s="22"/>
      <c r="H40" s="22"/>
      <c r="I40" s="22"/>
      <c r="J40" s="28">
        <f t="shared" si="0"/>
        <v>0</v>
      </c>
      <c r="K40" s="28">
        <f t="shared" si="1"/>
        <v>0</v>
      </c>
      <c r="L40" s="28">
        <f t="shared" si="2"/>
        <v>0</v>
      </c>
      <c r="M40" s="28">
        <f t="shared" si="3"/>
        <v>0</v>
      </c>
      <c r="N40" s="51"/>
    </row>
    <row r="41" spans="1:14" x14ac:dyDescent="0.25">
      <c r="A41" s="27">
        <v>38</v>
      </c>
      <c r="B41" s="4" t="s">
        <v>211</v>
      </c>
      <c r="C41" s="6" t="s">
        <v>197</v>
      </c>
      <c r="D41" s="22"/>
      <c r="E41" s="22"/>
      <c r="F41" s="22"/>
      <c r="G41" s="22"/>
      <c r="H41" s="22"/>
      <c r="I41" s="22"/>
      <c r="J41" s="28">
        <f t="shared" si="0"/>
        <v>0</v>
      </c>
      <c r="K41" s="28">
        <f t="shared" si="1"/>
        <v>0</v>
      </c>
      <c r="L41" s="28">
        <f t="shared" si="2"/>
        <v>0</v>
      </c>
      <c r="M41" s="28">
        <f t="shared" si="3"/>
        <v>0</v>
      </c>
      <c r="N41" s="51"/>
    </row>
    <row r="42" spans="1:14" x14ac:dyDescent="0.25">
      <c r="A42" s="27">
        <v>39</v>
      </c>
      <c r="B42" s="4" t="s">
        <v>211</v>
      </c>
      <c r="C42" s="6" t="s">
        <v>198</v>
      </c>
      <c r="D42" s="26">
        <v>42597</v>
      </c>
      <c r="E42" s="26">
        <v>42612</v>
      </c>
      <c r="F42" s="22"/>
      <c r="G42" s="22"/>
      <c r="H42" s="22"/>
      <c r="I42" s="22"/>
      <c r="J42" s="28">
        <f t="shared" si="0"/>
        <v>15</v>
      </c>
      <c r="K42" s="28">
        <f t="shared" si="1"/>
        <v>0</v>
      </c>
      <c r="L42" s="28">
        <f t="shared" si="2"/>
        <v>0</v>
      </c>
      <c r="M42" s="28">
        <f t="shared" si="3"/>
        <v>15</v>
      </c>
      <c r="N42" s="51"/>
    </row>
    <row r="43" spans="1:14" x14ac:dyDescent="0.25">
      <c r="A43" s="27">
        <v>40</v>
      </c>
      <c r="B43" s="4" t="s">
        <v>209</v>
      </c>
      <c r="C43" s="6" t="s">
        <v>199</v>
      </c>
      <c r="D43" s="26">
        <v>42580</v>
      </c>
      <c r="E43" s="26">
        <v>42635</v>
      </c>
      <c r="F43" s="22"/>
      <c r="G43" s="22"/>
      <c r="H43" s="22"/>
      <c r="I43" s="22"/>
      <c r="J43" s="28">
        <f t="shared" si="0"/>
        <v>55</v>
      </c>
      <c r="K43" s="28">
        <f t="shared" si="1"/>
        <v>0</v>
      </c>
      <c r="L43" s="28">
        <f t="shared" si="2"/>
        <v>0</v>
      </c>
      <c r="M43" s="28">
        <f t="shared" si="3"/>
        <v>55</v>
      </c>
      <c r="N43" s="51"/>
    </row>
    <row r="44" spans="1:14" x14ac:dyDescent="0.25">
      <c r="A44" s="27">
        <v>41</v>
      </c>
      <c r="B44" s="4" t="s">
        <v>209</v>
      </c>
      <c r="C44" s="43" t="s">
        <v>200</v>
      </c>
      <c r="D44" s="22"/>
      <c r="E44" s="22"/>
      <c r="F44" s="22"/>
      <c r="G44" s="22"/>
      <c r="H44" s="22"/>
      <c r="I44" s="22"/>
      <c r="J44" s="28">
        <f t="shared" si="0"/>
        <v>0</v>
      </c>
      <c r="K44" s="28">
        <f t="shared" si="1"/>
        <v>0</v>
      </c>
      <c r="L44" s="28">
        <f t="shared" si="2"/>
        <v>0</v>
      </c>
      <c r="M44" s="28">
        <f t="shared" si="3"/>
        <v>0</v>
      </c>
      <c r="N44" s="51"/>
    </row>
    <row r="45" spans="1:14" x14ac:dyDescent="0.25">
      <c r="A45" s="27">
        <v>42</v>
      </c>
      <c r="B45" s="4" t="s">
        <v>209</v>
      </c>
      <c r="C45" s="6" t="s">
        <v>201</v>
      </c>
      <c r="D45" s="22"/>
      <c r="E45" s="22"/>
      <c r="F45" s="22"/>
      <c r="G45" s="22"/>
      <c r="H45" s="22"/>
      <c r="I45" s="22"/>
      <c r="J45" s="28">
        <f t="shared" si="0"/>
        <v>0</v>
      </c>
      <c r="K45" s="28">
        <f t="shared" si="1"/>
        <v>0</v>
      </c>
      <c r="L45" s="28">
        <f t="shared" si="2"/>
        <v>0</v>
      </c>
      <c r="M45" s="28">
        <f t="shared" si="3"/>
        <v>0</v>
      </c>
      <c r="N45" s="51"/>
    </row>
    <row r="46" spans="1:14" x14ac:dyDescent="0.25">
      <c r="A46" s="27">
        <v>43</v>
      </c>
      <c r="B46" s="4" t="s">
        <v>209</v>
      </c>
      <c r="C46" s="6" t="s">
        <v>206</v>
      </c>
      <c r="D46" s="22"/>
      <c r="E46" s="22"/>
      <c r="F46" s="22"/>
      <c r="G46" s="22"/>
      <c r="H46" s="22"/>
      <c r="I46" s="22"/>
      <c r="J46" s="28">
        <f t="shared" si="0"/>
        <v>0</v>
      </c>
      <c r="K46" s="28">
        <f t="shared" si="1"/>
        <v>0</v>
      </c>
      <c r="L46" s="28">
        <f t="shared" si="2"/>
        <v>0</v>
      </c>
      <c r="M46" s="28">
        <f t="shared" si="3"/>
        <v>0</v>
      </c>
      <c r="N46" s="51"/>
    </row>
    <row r="47" spans="1:14" x14ac:dyDescent="0.25">
      <c r="A47" s="27">
        <v>44</v>
      </c>
      <c r="B47" s="4" t="s">
        <v>211</v>
      </c>
      <c r="C47" s="6" t="s">
        <v>172</v>
      </c>
      <c r="D47" s="26">
        <v>42679</v>
      </c>
      <c r="E47" s="26">
        <v>42701</v>
      </c>
      <c r="F47" s="22"/>
      <c r="G47" s="22"/>
      <c r="H47" s="22"/>
      <c r="I47" s="22"/>
      <c r="J47" s="28">
        <f t="shared" si="0"/>
        <v>22</v>
      </c>
      <c r="K47" s="28">
        <f t="shared" si="1"/>
        <v>0</v>
      </c>
      <c r="L47" s="28">
        <f t="shared" si="2"/>
        <v>0</v>
      </c>
      <c r="M47" s="28">
        <f t="shared" si="3"/>
        <v>22</v>
      </c>
      <c r="N47" s="51"/>
    </row>
    <row r="48" spans="1:14" x14ac:dyDescent="0.25">
      <c r="A48" s="27">
        <v>45</v>
      </c>
      <c r="B48" s="4" t="s">
        <v>211</v>
      </c>
      <c r="C48" s="6" t="s">
        <v>174</v>
      </c>
      <c r="D48" s="26">
        <v>42664</v>
      </c>
      <c r="E48" s="26">
        <v>42735</v>
      </c>
      <c r="F48" s="22"/>
      <c r="G48" s="22"/>
      <c r="H48" s="22"/>
      <c r="I48" s="22"/>
      <c r="J48" s="28">
        <f t="shared" si="0"/>
        <v>71</v>
      </c>
      <c r="K48" s="28">
        <f t="shared" si="1"/>
        <v>0</v>
      </c>
      <c r="L48" s="28">
        <f t="shared" si="2"/>
        <v>0</v>
      </c>
      <c r="M48" s="28">
        <f t="shared" si="3"/>
        <v>71</v>
      </c>
      <c r="N48" s="51" t="s">
        <v>216</v>
      </c>
    </row>
    <row r="49" spans="1:14" x14ac:dyDescent="0.25">
      <c r="A49" s="27">
        <v>46</v>
      </c>
      <c r="B49" s="4" t="s">
        <v>209</v>
      </c>
      <c r="C49" s="6" t="s">
        <v>42</v>
      </c>
      <c r="D49" s="22"/>
      <c r="E49" s="22"/>
      <c r="F49" s="22"/>
      <c r="G49" s="22"/>
      <c r="H49" s="22"/>
      <c r="I49" s="22"/>
      <c r="J49" s="28">
        <f t="shared" si="0"/>
        <v>0</v>
      </c>
      <c r="K49" s="28">
        <f t="shared" si="1"/>
        <v>0</v>
      </c>
      <c r="L49" s="28">
        <f t="shared" si="2"/>
        <v>0</v>
      </c>
      <c r="M49" s="28">
        <f t="shared" si="3"/>
        <v>0</v>
      </c>
      <c r="N49" s="51"/>
    </row>
    <row r="50" spans="1:14" x14ac:dyDescent="0.25">
      <c r="A50" s="27">
        <v>47</v>
      </c>
      <c r="B50" s="4" t="s">
        <v>209</v>
      </c>
      <c r="C50" s="6" t="s">
        <v>221</v>
      </c>
      <c r="D50" s="22"/>
      <c r="E50" s="22"/>
      <c r="F50" s="22"/>
      <c r="G50" s="22"/>
      <c r="H50" s="22"/>
      <c r="I50" s="22"/>
      <c r="J50" s="28">
        <f>E50-D50</f>
        <v>0</v>
      </c>
      <c r="K50" s="28">
        <f>G50-F50</f>
        <v>0</v>
      </c>
      <c r="L50" s="28">
        <f>I50-H50</f>
        <v>0</v>
      </c>
      <c r="M50" s="28">
        <f>J50+K50+L50</f>
        <v>0</v>
      </c>
      <c r="N50" s="51"/>
    </row>
    <row r="51" spans="1:14" x14ac:dyDescent="0.25">
      <c r="A51" s="27">
        <v>48</v>
      </c>
      <c r="B51" s="4" t="s">
        <v>209</v>
      </c>
      <c r="C51" s="6" t="s">
        <v>222</v>
      </c>
      <c r="D51" s="22"/>
      <c r="E51" s="22"/>
      <c r="F51" s="22"/>
      <c r="G51" s="22"/>
      <c r="H51" s="22"/>
      <c r="I51" s="22"/>
      <c r="J51" s="28">
        <f>E51-D51</f>
        <v>0</v>
      </c>
      <c r="K51" s="28">
        <f>G51-F51</f>
        <v>0</v>
      </c>
      <c r="L51" s="28">
        <f>I51-H51</f>
        <v>0</v>
      </c>
      <c r="M51" s="28">
        <f>J51+K51+L51</f>
        <v>0</v>
      </c>
      <c r="N51" s="51"/>
    </row>
    <row r="52" spans="1:14" x14ac:dyDescent="0.25">
      <c r="A52" s="27">
        <v>49</v>
      </c>
      <c r="B52" s="4" t="s">
        <v>209</v>
      </c>
      <c r="C52" s="6" t="s">
        <v>223</v>
      </c>
      <c r="D52" s="22"/>
      <c r="E52" s="22"/>
      <c r="F52" s="22"/>
      <c r="G52" s="22"/>
      <c r="H52" s="22"/>
      <c r="I52" s="22"/>
      <c r="J52" s="28">
        <f>E52-D52</f>
        <v>0</v>
      </c>
      <c r="K52" s="28">
        <f>G52-F52</f>
        <v>0</v>
      </c>
      <c r="L52" s="28">
        <f>I52-H52</f>
        <v>0</v>
      </c>
      <c r="M52" s="28">
        <f>J52+K52+L52</f>
        <v>0</v>
      </c>
      <c r="N52" s="51"/>
    </row>
    <row r="53" spans="1:14" x14ac:dyDescent="0.25">
      <c r="A53" s="27">
        <v>50</v>
      </c>
      <c r="B53" s="4" t="s">
        <v>209</v>
      </c>
      <c r="C53" s="6" t="s">
        <v>224</v>
      </c>
      <c r="D53" s="22"/>
      <c r="E53" s="22"/>
      <c r="F53" s="22"/>
      <c r="G53" s="22"/>
      <c r="H53" s="22"/>
      <c r="I53" s="22"/>
      <c r="J53" s="28">
        <f>E53-D53</f>
        <v>0</v>
      </c>
      <c r="K53" s="28">
        <f>G53-F53</f>
        <v>0</v>
      </c>
      <c r="L53" s="28">
        <f>I53-H53</f>
        <v>0</v>
      </c>
      <c r="M53" s="28">
        <f>J53+K53+L53</f>
        <v>0</v>
      </c>
      <c r="N53" s="51"/>
    </row>
    <row r="54" spans="1:14" x14ac:dyDescent="0.25">
      <c r="A54" s="27">
        <v>51</v>
      </c>
      <c r="B54" s="4"/>
      <c r="C54" s="6" t="s">
        <v>226</v>
      </c>
      <c r="D54" s="22"/>
      <c r="E54" s="22"/>
      <c r="F54" s="22"/>
      <c r="G54" s="22"/>
      <c r="H54" s="22"/>
      <c r="I54" s="22"/>
      <c r="J54" s="28">
        <f>E54-D54</f>
        <v>0</v>
      </c>
      <c r="K54" s="28">
        <f>G54-F54</f>
        <v>0</v>
      </c>
      <c r="L54" s="28">
        <f>I54-H54</f>
        <v>0</v>
      </c>
      <c r="M54" s="28">
        <f>J54+K54+L54</f>
        <v>0</v>
      </c>
      <c r="N54" s="51"/>
    </row>
    <row r="55" spans="1:14" x14ac:dyDescent="0.25">
      <c r="A55" s="27"/>
      <c r="B55" s="4"/>
      <c r="C55" s="6" t="s">
        <v>227</v>
      </c>
      <c r="D55" s="22"/>
      <c r="E55" s="22"/>
      <c r="F55" s="22"/>
      <c r="G55" s="22"/>
      <c r="H55" s="22"/>
      <c r="I55" s="22"/>
      <c r="J55" s="28"/>
      <c r="K55" s="28"/>
      <c r="L55" s="28"/>
      <c r="M55" s="28"/>
      <c r="N55" s="51"/>
    </row>
    <row r="56" spans="1:14" x14ac:dyDescent="0.25">
      <c r="A56" s="27"/>
      <c r="B56" s="4"/>
      <c r="C56" s="6" t="s">
        <v>228</v>
      </c>
      <c r="D56" s="22"/>
      <c r="E56" s="22"/>
      <c r="F56" s="22"/>
      <c r="G56" s="22"/>
      <c r="H56" s="22"/>
      <c r="I56" s="22"/>
      <c r="J56" s="28"/>
      <c r="K56" s="28"/>
      <c r="L56" s="28"/>
      <c r="M56" s="28"/>
      <c r="N56" s="51"/>
    </row>
    <row r="57" spans="1:14" x14ac:dyDescent="0.25">
      <c r="A57" s="27"/>
      <c r="B57" s="4"/>
      <c r="C57" s="6" t="s">
        <v>229</v>
      </c>
      <c r="D57" s="22"/>
      <c r="E57" s="22"/>
      <c r="F57" s="22"/>
      <c r="G57" s="22"/>
      <c r="H57" s="22"/>
      <c r="I57" s="22"/>
      <c r="J57" s="28"/>
      <c r="K57" s="28"/>
      <c r="L57" s="28"/>
      <c r="M57" s="28"/>
      <c r="N57" s="51"/>
    </row>
    <row r="58" spans="1:14" x14ac:dyDescent="0.25">
      <c r="A58" s="27">
        <v>52</v>
      </c>
      <c r="B58" s="48" t="s">
        <v>209</v>
      </c>
      <c r="C58" s="1" t="s">
        <v>29</v>
      </c>
      <c r="D58" s="26">
        <v>42644</v>
      </c>
      <c r="E58" s="26">
        <v>42705</v>
      </c>
      <c r="F58" s="22"/>
      <c r="G58" s="22"/>
      <c r="H58" s="22"/>
      <c r="I58" s="22"/>
      <c r="J58" s="28">
        <f t="shared" si="0"/>
        <v>61</v>
      </c>
      <c r="K58" s="28">
        <f t="shared" si="1"/>
        <v>0</v>
      </c>
      <c r="L58" s="28">
        <f t="shared" si="2"/>
        <v>0</v>
      </c>
      <c r="M58" s="28">
        <f t="shared" si="3"/>
        <v>61</v>
      </c>
      <c r="N58" s="51"/>
    </row>
    <row r="59" spans="1:14" x14ac:dyDescent="0.25">
      <c r="A59" s="27">
        <v>53</v>
      </c>
      <c r="B59" s="48" t="s">
        <v>209</v>
      </c>
      <c r="C59" s="1" t="s">
        <v>30</v>
      </c>
      <c r="D59" s="26">
        <v>42476</v>
      </c>
      <c r="E59" s="26">
        <v>42506</v>
      </c>
      <c r="F59" s="22"/>
      <c r="G59" s="22"/>
      <c r="H59" s="22"/>
      <c r="I59" s="22"/>
      <c r="J59" s="28">
        <f t="shared" si="0"/>
        <v>30</v>
      </c>
      <c r="K59" s="28">
        <f t="shared" si="1"/>
        <v>0</v>
      </c>
      <c r="L59" s="28">
        <f t="shared" si="2"/>
        <v>0</v>
      </c>
      <c r="M59" s="28">
        <f t="shared" si="3"/>
        <v>30</v>
      </c>
      <c r="N59" s="51"/>
    </row>
    <row r="60" spans="1:14" x14ac:dyDescent="0.25">
      <c r="A60" s="27">
        <v>54</v>
      </c>
      <c r="B60" s="48" t="s">
        <v>209</v>
      </c>
      <c r="C60" s="1" t="s">
        <v>31</v>
      </c>
      <c r="D60" s="22"/>
      <c r="E60" s="22"/>
      <c r="F60" s="22"/>
      <c r="G60" s="22"/>
      <c r="H60" s="22"/>
      <c r="I60" s="22"/>
      <c r="J60" s="28">
        <f t="shared" si="0"/>
        <v>0</v>
      </c>
      <c r="K60" s="28">
        <f t="shared" si="1"/>
        <v>0</v>
      </c>
      <c r="L60" s="28">
        <f t="shared" si="2"/>
        <v>0</v>
      </c>
      <c r="M60" s="28">
        <f t="shared" si="3"/>
        <v>0</v>
      </c>
      <c r="N60" s="51"/>
    </row>
    <row r="61" spans="1:14" x14ac:dyDescent="0.25">
      <c r="A61" s="27">
        <v>55</v>
      </c>
      <c r="B61" s="48" t="s">
        <v>209</v>
      </c>
      <c r="C61" s="13" t="s">
        <v>33</v>
      </c>
      <c r="D61" s="22"/>
      <c r="E61" s="22"/>
      <c r="F61" s="22"/>
      <c r="G61" s="22"/>
      <c r="H61" s="22"/>
      <c r="I61" s="22"/>
      <c r="J61" s="28">
        <f t="shared" si="0"/>
        <v>0</v>
      </c>
      <c r="K61" s="28">
        <f t="shared" si="1"/>
        <v>0</v>
      </c>
      <c r="L61" s="28">
        <f t="shared" si="2"/>
        <v>0</v>
      </c>
      <c r="M61" s="28">
        <f t="shared" si="3"/>
        <v>0</v>
      </c>
      <c r="N61" s="51"/>
    </row>
    <row r="62" spans="1:14" x14ac:dyDescent="0.25">
      <c r="A62" s="27">
        <v>56</v>
      </c>
      <c r="B62" s="48" t="s">
        <v>209</v>
      </c>
      <c r="C62" s="1" t="s">
        <v>47</v>
      </c>
      <c r="D62" s="26">
        <v>42526</v>
      </c>
      <c r="E62" s="26">
        <v>42561</v>
      </c>
      <c r="F62" s="22"/>
      <c r="G62" s="22"/>
      <c r="H62" s="22"/>
      <c r="I62" s="22"/>
      <c r="J62" s="28">
        <f t="shared" si="0"/>
        <v>35</v>
      </c>
      <c r="K62" s="28">
        <f t="shared" si="1"/>
        <v>0</v>
      </c>
      <c r="L62" s="28">
        <f t="shared" si="2"/>
        <v>0</v>
      </c>
      <c r="M62" s="28">
        <f t="shared" si="3"/>
        <v>35</v>
      </c>
      <c r="N62" s="51"/>
    </row>
    <row r="63" spans="1:14" x14ac:dyDescent="0.25">
      <c r="A63" s="27">
        <v>57</v>
      </c>
      <c r="B63" s="9" t="s">
        <v>209</v>
      </c>
      <c r="C63" s="2" t="s">
        <v>34</v>
      </c>
      <c r="D63" s="22"/>
      <c r="E63" s="22"/>
      <c r="F63" s="22"/>
      <c r="G63" s="22"/>
      <c r="H63" s="22"/>
      <c r="I63" s="22"/>
      <c r="J63" s="28">
        <f t="shared" si="0"/>
        <v>0</v>
      </c>
      <c r="K63" s="28">
        <f t="shared" si="1"/>
        <v>0</v>
      </c>
      <c r="L63" s="28">
        <f t="shared" si="2"/>
        <v>0</v>
      </c>
      <c r="M63" s="28">
        <f t="shared" si="3"/>
        <v>0</v>
      </c>
      <c r="N63" s="51"/>
    </row>
    <row r="64" spans="1:14" x14ac:dyDescent="0.25">
      <c r="A64" s="27">
        <v>58</v>
      </c>
      <c r="B64" s="48" t="s">
        <v>209</v>
      </c>
      <c r="C64" s="1" t="s">
        <v>35</v>
      </c>
      <c r="D64" s="26">
        <v>42679</v>
      </c>
      <c r="E64" s="26">
        <v>42735</v>
      </c>
      <c r="F64" s="22"/>
      <c r="G64" s="22"/>
      <c r="H64" s="22"/>
      <c r="I64" s="22"/>
      <c r="J64" s="28">
        <f t="shared" si="0"/>
        <v>56</v>
      </c>
      <c r="K64" s="28">
        <f t="shared" si="1"/>
        <v>0</v>
      </c>
      <c r="L64" s="28">
        <f t="shared" si="2"/>
        <v>0</v>
      </c>
      <c r="M64" s="28">
        <f t="shared" si="3"/>
        <v>56</v>
      </c>
      <c r="N64" s="51" t="s">
        <v>216</v>
      </c>
    </row>
    <row r="65" spans="1:14" x14ac:dyDescent="0.25">
      <c r="A65" s="27">
        <v>59</v>
      </c>
      <c r="B65" s="4" t="s">
        <v>209</v>
      </c>
      <c r="C65" s="5" t="s">
        <v>37</v>
      </c>
      <c r="D65" s="26">
        <v>42583</v>
      </c>
      <c r="E65" s="26">
        <v>42619</v>
      </c>
      <c r="F65" s="22"/>
      <c r="G65" s="22"/>
      <c r="H65" s="22"/>
      <c r="I65" s="22"/>
      <c r="J65" s="28">
        <f t="shared" si="0"/>
        <v>36</v>
      </c>
      <c r="K65" s="28">
        <f t="shared" si="1"/>
        <v>0</v>
      </c>
      <c r="L65" s="28">
        <f t="shared" si="2"/>
        <v>0</v>
      </c>
      <c r="M65" s="28">
        <f t="shared" si="3"/>
        <v>36</v>
      </c>
      <c r="N65" s="51"/>
    </row>
    <row r="66" spans="1:14" x14ac:dyDescent="0.25">
      <c r="A66" s="27">
        <v>60</v>
      </c>
      <c r="B66" s="4" t="s">
        <v>211</v>
      </c>
      <c r="C66" s="5" t="s">
        <v>39</v>
      </c>
      <c r="D66" s="22"/>
      <c r="E66" s="22"/>
      <c r="F66" s="22"/>
      <c r="G66" s="22"/>
      <c r="H66" s="22"/>
      <c r="I66" s="22"/>
      <c r="J66" s="28">
        <f t="shared" si="0"/>
        <v>0</v>
      </c>
      <c r="K66" s="28">
        <f t="shared" si="1"/>
        <v>0</v>
      </c>
      <c r="L66" s="28">
        <f t="shared" si="2"/>
        <v>0</v>
      </c>
      <c r="M66" s="28">
        <f t="shared" si="3"/>
        <v>0</v>
      </c>
      <c r="N66" s="51"/>
    </row>
    <row r="67" spans="1:14" x14ac:dyDescent="0.25">
      <c r="A67" s="27">
        <v>61</v>
      </c>
      <c r="B67" s="4" t="s">
        <v>211</v>
      </c>
      <c r="C67" s="5" t="s">
        <v>157</v>
      </c>
      <c r="D67" s="26">
        <v>42370</v>
      </c>
      <c r="E67" s="26">
        <v>42411</v>
      </c>
      <c r="F67" s="22"/>
      <c r="G67" s="22"/>
      <c r="H67" s="22"/>
      <c r="I67" s="22"/>
      <c r="J67" s="28">
        <f t="shared" si="0"/>
        <v>41</v>
      </c>
      <c r="K67" s="28">
        <f t="shared" si="1"/>
        <v>0</v>
      </c>
      <c r="L67" s="28">
        <f t="shared" si="2"/>
        <v>0</v>
      </c>
      <c r="M67" s="28">
        <f t="shared" si="3"/>
        <v>41</v>
      </c>
      <c r="N67" s="51"/>
    </row>
    <row r="68" spans="1:14" x14ac:dyDescent="0.25">
      <c r="A68" s="27">
        <v>62</v>
      </c>
      <c r="B68" s="4" t="s">
        <v>211</v>
      </c>
      <c r="C68" s="5" t="s">
        <v>158</v>
      </c>
      <c r="D68" s="26">
        <v>42432</v>
      </c>
      <c r="E68" s="26">
        <v>42518</v>
      </c>
      <c r="F68" s="22"/>
      <c r="G68" s="22"/>
      <c r="H68" s="22"/>
      <c r="I68" s="22"/>
      <c r="J68" s="28">
        <f t="shared" si="0"/>
        <v>86</v>
      </c>
      <c r="K68" s="28">
        <f t="shared" si="1"/>
        <v>0</v>
      </c>
      <c r="L68" s="28">
        <f t="shared" si="2"/>
        <v>0</v>
      </c>
      <c r="M68" s="28">
        <f t="shared" si="3"/>
        <v>86</v>
      </c>
      <c r="N68" s="51"/>
    </row>
    <row r="69" spans="1:14" x14ac:dyDescent="0.25">
      <c r="A69" s="27">
        <v>63</v>
      </c>
      <c r="B69" s="9" t="s">
        <v>209</v>
      </c>
      <c r="C69" s="23" t="s">
        <v>40</v>
      </c>
      <c r="D69" s="22"/>
      <c r="E69" s="22"/>
      <c r="F69" s="22"/>
      <c r="G69" s="22"/>
      <c r="H69" s="22"/>
      <c r="I69" s="22"/>
      <c r="J69" s="28">
        <f t="shared" si="0"/>
        <v>0</v>
      </c>
      <c r="K69" s="28">
        <f t="shared" si="1"/>
        <v>0</v>
      </c>
      <c r="L69" s="28">
        <f t="shared" si="2"/>
        <v>0</v>
      </c>
      <c r="M69" s="28">
        <f t="shared" si="3"/>
        <v>0</v>
      </c>
      <c r="N69" s="51"/>
    </row>
    <row r="70" spans="1:14" x14ac:dyDescent="0.25">
      <c r="A70" s="27">
        <v>64</v>
      </c>
      <c r="B70" s="4" t="s">
        <v>211</v>
      </c>
      <c r="C70" s="5" t="s">
        <v>202</v>
      </c>
      <c r="D70" s="26">
        <v>42644</v>
      </c>
      <c r="E70" s="26">
        <v>42690</v>
      </c>
      <c r="F70" s="22"/>
      <c r="G70" s="22"/>
      <c r="H70" s="22"/>
      <c r="I70" s="22"/>
      <c r="J70" s="28">
        <f t="shared" si="0"/>
        <v>46</v>
      </c>
      <c r="K70" s="28">
        <f t="shared" si="1"/>
        <v>0</v>
      </c>
      <c r="L70" s="28">
        <f t="shared" si="2"/>
        <v>0</v>
      </c>
      <c r="M70" s="28">
        <f t="shared" si="3"/>
        <v>46</v>
      </c>
      <c r="N70" s="51"/>
    </row>
    <row r="71" spans="1:14" x14ac:dyDescent="0.25">
      <c r="A71" s="27">
        <v>65</v>
      </c>
      <c r="B71" s="48" t="s">
        <v>209</v>
      </c>
      <c r="C71" s="1" t="s">
        <v>48</v>
      </c>
      <c r="D71" s="26">
        <v>42370</v>
      </c>
      <c r="E71" s="26">
        <v>42431</v>
      </c>
      <c r="F71" s="22"/>
      <c r="G71" s="22"/>
      <c r="H71" s="22"/>
      <c r="I71" s="22"/>
      <c r="J71" s="28">
        <f t="shared" ref="J71:J87" si="4">E71-D71</f>
        <v>61</v>
      </c>
      <c r="K71" s="28">
        <f t="shared" ref="K71:K87" si="5">G71-F71</f>
        <v>0</v>
      </c>
      <c r="L71" s="28">
        <f t="shared" ref="L71:L87" si="6">I71-H71</f>
        <v>0</v>
      </c>
      <c r="M71" s="28">
        <f t="shared" ref="M71:M87" si="7">J71+K71+L71</f>
        <v>61</v>
      </c>
      <c r="N71" s="51"/>
    </row>
    <row r="72" spans="1:14" x14ac:dyDescent="0.25">
      <c r="A72" s="27">
        <v>66</v>
      </c>
      <c r="B72" s="4" t="s">
        <v>211</v>
      </c>
      <c r="C72" s="1" t="s">
        <v>184</v>
      </c>
      <c r="D72" s="26">
        <v>42431</v>
      </c>
      <c r="E72" s="26">
        <v>42494</v>
      </c>
      <c r="F72" s="22"/>
      <c r="G72" s="22"/>
      <c r="H72" s="22"/>
      <c r="I72" s="22"/>
      <c r="J72" s="28">
        <f t="shared" si="4"/>
        <v>63</v>
      </c>
      <c r="K72" s="28">
        <f t="shared" si="5"/>
        <v>0</v>
      </c>
      <c r="L72" s="28">
        <f t="shared" si="6"/>
        <v>0</v>
      </c>
      <c r="M72" s="28">
        <f t="shared" si="7"/>
        <v>63</v>
      </c>
      <c r="N72" s="51"/>
    </row>
    <row r="73" spans="1:14" x14ac:dyDescent="0.25">
      <c r="A73" s="27">
        <v>67</v>
      </c>
      <c r="B73" s="4" t="s">
        <v>211</v>
      </c>
      <c r="C73" s="1" t="s">
        <v>185</v>
      </c>
      <c r="D73" s="26">
        <v>42675</v>
      </c>
      <c r="E73" s="26">
        <v>42735</v>
      </c>
      <c r="F73" s="22"/>
      <c r="G73" s="22"/>
      <c r="H73" s="22"/>
      <c r="I73" s="22"/>
      <c r="J73" s="28">
        <f t="shared" si="4"/>
        <v>60</v>
      </c>
      <c r="K73" s="28">
        <f t="shared" si="5"/>
        <v>0</v>
      </c>
      <c r="L73" s="28">
        <f t="shared" si="6"/>
        <v>0</v>
      </c>
      <c r="M73" s="28">
        <f t="shared" si="7"/>
        <v>60</v>
      </c>
      <c r="N73" s="51" t="s">
        <v>216</v>
      </c>
    </row>
    <row r="74" spans="1:14" x14ac:dyDescent="0.25">
      <c r="A74" s="27">
        <v>68</v>
      </c>
      <c r="B74" s="48" t="s">
        <v>209</v>
      </c>
      <c r="C74" s="1" t="s">
        <v>43</v>
      </c>
      <c r="D74" s="22"/>
      <c r="E74" s="22"/>
      <c r="F74" s="22"/>
      <c r="G74" s="22"/>
      <c r="H74" s="22"/>
      <c r="I74" s="22"/>
      <c r="J74" s="28">
        <f t="shared" si="4"/>
        <v>0</v>
      </c>
      <c r="K74" s="28">
        <f t="shared" si="5"/>
        <v>0</v>
      </c>
      <c r="L74" s="28">
        <f t="shared" si="6"/>
        <v>0</v>
      </c>
      <c r="M74" s="28">
        <f t="shared" si="7"/>
        <v>0</v>
      </c>
      <c r="N74" s="51"/>
    </row>
    <row r="75" spans="1:14" x14ac:dyDescent="0.25">
      <c r="A75" s="27">
        <v>69</v>
      </c>
      <c r="B75" s="4" t="s">
        <v>209</v>
      </c>
      <c r="C75" s="1" t="s">
        <v>44</v>
      </c>
      <c r="D75" s="26">
        <v>42676</v>
      </c>
      <c r="E75" s="26">
        <v>42735</v>
      </c>
      <c r="F75" s="22"/>
      <c r="G75" s="22"/>
      <c r="H75" s="22"/>
      <c r="I75" s="22"/>
      <c r="J75" s="28">
        <f t="shared" si="4"/>
        <v>59</v>
      </c>
      <c r="K75" s="28">
        <f t="shared" si="5"/>
        <v>0</v>
      </c>
      <c r="L75" s="28">
        <f t="shared" si="6"/>
        <v>0</v>
      </c>
      <c r="M75" s="28">
        <f t="shared" si="7"/>
        <v>59</v>
      </c>
      <c r="N75" s="51" t="s">
        <v>216</v>
      </c>
    </row>
    <row r="76" spans="1:14" x14ac:dyDescent="0.25">
      <c r="A76" s="27">
        <v>70</v>
      </c>
      <c r="B76" s="4" t="s">
        <v>209</v>
      </c>
      <c r="C76" s="1" t="s">
        <v>46</v>
      </c>
      <c r="D76" s="26">
        <v>42611</v>
      </c>
      <c r="E76" s="26">
        <v>42692</v>
      </c>
      <c r="F76" s="22"/>
      <c r="G76" s="22"/>
      <c r="H76" s="22"/>
      <c r="I76" s="22"/>
      <c r="J76" s="28">
        <f t="shared" si="4"/>
        <v>81</v>
      </c>
      <c r="K76" s="28">
        <f t="shared" si="5"/>
        <v>0</v>
      </c>
      <c r="L76" s="28">
        <f t="shared" si="6"/>
        <v>0</v>
      </c>
      <c r="M76" s="28">
        <f t="shared" si="7"/>
        <v>81</v>
      </c>
      <c r="N76" s="51"/>
    </row>
    <row r="77" spans="1:14" x14ac:dyDescent="0.25">
      <c r="A77" s="27">
        <v>71</v>
      </c>
      <c r="B77" s="48" t="s">
        <v>209</v>
      </c>
      <c r="C77" s="1" t="s">
        <v>49</v>
      </c>
      <c r="D77" s="26">
        <v>42676</v>
      </c>
      <c r="E77" s="26">
        <v>42693</v>
      </c>
      <c r="F77" s="22"/>
      <c r="G77" s="22"/>
      <c r="H77" s="22"/>
      <c r="I77" s="22"/>
      <c r="J77" s="28">
        <f t="shared" si="4"/>
        <v>17</v>
      </c>
      <c r="K77" s="28">
        <f t="shared" si="5"/>
        <v>0</v>
      </c>
      <c r="L77" s="28">
        <f t="shared" si="6"/>
        <v>0</v>
      </c>
      <c r="M77" s="28">
        <f t="shared" si="7"/>
        <v>17</v>
      </c>
      <c r="N77" s="51"/>
    </row>
    <row r="78" spans="1:14" x14ac:dyDescent="0.25">
      <c r="A78" s="27">
        <v>72</v>
      </c>
      <c r="B78" s="4" t="s">
        <v>209</v>
      </c>
      <c r="C78" s="1" t="s">
        <v>51</v>
      </c>
      <c r="D78" s="22"/>
      <c r="E78" s="22"/>
      <c r="F78" s="22"/>
      <c r="G78" s="22"/>
      <c r="H78" s="22"/>
      <c r="I78" s="22"/>
      <c r="J78" s="28">
        <f t="shared" si="4"/>
        <v>0</v>
      </c>
      <c r="K78" s="28">
        <f t="shared" si="5"/>
        <v>0</v>
      </c>
      <c r="L78" s="28">
        <f t="shared" si="6"/>
        <v>0</v>
      </c>
      <c r="M78" s="28">
        <f t="shared" si="7"/>
        <v>0</v>
      </c>
      <c r="N78" s="51"/>
    </row>
    <row r="79" spans="1:14" x14ac:dyDescent="0.25">
      <c r="A79" s="27">
        <v>73</v>
      </c>
      <c r="B79" s="4" t="s">
        <v>209</v>
      </c>
      <c r="C79" s="6" t="s">
        <v>52</v>
      </c>
      <c r="D79" s="22"/>
      <c r="E79" s="22"/>
      <c r="F79" s="22"/>
      <c r="G79" s="22"/>
      <c r="H79" s="22"/>
      <c r="I79" s="22"/>
      <c r="J79" s="28">
        <f t="shared" si="4"/>
        <v>0</v>
      </c>
      <c r="K79" s="28">
        <f t="shared" si="5"/>
        <v>0</v>
      </c>
      <c r="L79" s="28">
        <f t="shared" si="6"/>
        <v>0</v>
      </c>
      <c r="M79" s="28">
        <f t="shared" si="7"/>
        <v>0</v>
      </c>
      <c r="N79" s="51"/>
    </row>
    <row r="80" spans="1:14" x14ac:dyDescent="0.25">
      <c r="A80" s="27">
        <v>74</v>
      </c>
      <c r="B80" s="48" t="s">
        <v>209</v>
      </c>
      <c r="C80" s="6" t="s">
        <v>53</v>
      </c>
      <c r="D80" s="22"/>
      <c r="E80" s="22"/>
      <c r="F80" s="22"/>
      <c r="G80" s="22"/>
      <c r="H80" s="22"/>
      <c r="I80" s="22"/>
      <c r="J80" s="28">
        <f t="shared" si="4"/>
        <v>0</v>
      </c>
      <c r="K80" s="28">
        <f t="shared" si="5"/>
        <v>0</v>
      </c>
      <c r="L80" s="28">
        <f t="shared" si="6"/>
        <v>0</v>
      </c>
      <c r="M80" s="28">
        <f t="shared" si="7"/>
        <v>0</v>
      </c>
      <c r="N80" s="51"/>
    </row>
    <row r="81" spans="1:14" x14ac:dyDescent="0.25">
      <c r="A81" s="27">
        <v>75</v>
      </c>
      <c r="B81" s="4" t="s">
        <v>209</v>
      </c>
      <c r="C81" s="6" t="s">
        <v>54</v>
      </c>
      <c r="D81" s="26">
        <v>42430</v>
      </c>
      <c r="E81" s="26">
        <v>42520</v>
      </c>
      <c r="F81" s="22"/>
      <c r="G81" s="22"/>
      <c r="H81" s="22"/>
      <c r="I81" s="22"/>
      <c r="J81" s="28">
        <f t="shared" si="4"/>
        <v>90</v>
      </c>
      <c r="K81" s="28">
        <f t="shared" si="5"/>
        <v>0</v>
      </c>
      <c r="L81" s="28">
        <f t="shared" si="6"/>
        <v>0</v>
      </c>
      <c r="M81" s="28">
        <f t="shared" si="7"/>
        <v>90</v>
      </c>
      <c r="N81" s="51"/>
    </row>
    <row r="82" spans="1:14" x14ac:dyDescent="0.25">
      <c r="A82" s="27">
        <v>76</v>
      </c>
      <c r="B82" s="4" t="s">
        <v>209</v>
      </c>
      <c r="C82" s="6" t="s">
        <v>55</v>
      </c>
      <c r="D82" s="26">
        <v>42545</v>
      </c>
      <c r="E82" s="26">
        <v>42641</v>
      </c>
      <c r="F82" s="22"/>
      <c r="G82" s="22"/>
      <c r="H82" s="22"/>
      <c r="I82" s="22"/>
      <c r="J82" s="28">
        <f t="shared" si="4"/>
        <v>96</v>
      </c>
      <c r="K82" s="28">
        <f t="shared" si="5"/>
        <v>0</v>
      </c>
      <c r="L82" s="28">
        <f t="shared" si="6"/>
        <v>0</v>
      </c>
      <c r="M82" s="28">
        <f t="shared" si="7"/>
        <v>96</v>
      </c>
      <c r="N82" s="51"/>
    </row>
    <row r="83" spans="1:14" x14ac:dyDescent="0.25">
      <c r="A83" s="27">
        <v>77</v>
      </c>
      <c r="B83" s="4" t="s">
        <v>209</v>
      </c>
      <c r="C83" s="6" t="s">
        <v>186</v>
      </c>
      <c r="D83" s="22"/>
      <c r="E83" s="22"/>
      <c r="F83" s="22"/>
      <c r="G83" s="22"/>
      <c r="H83" s="22"/>
      <c r="I83" s="22"/>
      <c r="J83" s="28">
        <f t="shared" si="4"/>
        <v>0</v>
      </c>
      <c r="K83" s="28">
        <f t="shared" si="5"/>
        <v>0</v>
      </c>
      <c r="L83" s="28">
        <f t="shared" si="6"/>
        <v>0</v>
      </c>
      <c r="M83" s="28">
        <f t="shared" si="7"/>
        <v>0</v>
      </c>
      <c r="N83" s="51"/>
    </row>
    <row r="84" spans="1:14" x14ac:dyDescent="0.25">
      <c r="A84" s="27">
        <v>78</v>
      </c>
      <c r="B84" s="4" t="s">
        <v>209</v>
      </c>
      <c r="C84" s="6" t="s">
        <v>187</v>
      </c>
      <c r="D84" s="26">
        <v>42615</v>
      </c>
      <c r="E84" s="26">
        <v>42735</v>
      </c>
      <c r="F84" s="22"/>
      <c r="G84" s="22"/>
      <c r="H84" s="22"/>
      <c r="I84" s="22"/>
      <c r="J84" s="28">
        <f t="shared" si="4"/>
        <v>120</v>
      </c>
      <c r="K84" s="28">
        <f t="shared" si="5"/>
        <v>0</v>
      </c>
      <c r="L84" s="28">
        <f t="shared" si="6"/>
        <v>0</v>
      </c>
      <c r="M84" s="28">
        <f t="shared" si="7"/>
        <v>120</v>
      </c>
      <c r="N84" s="51" t="s">
        <v>216</v>
      </c>
    </row>
    <row r="85" spans="1:14" x14ac:dyDescent="0.25">
      <c r="A85" s="27">
        <v>79</v>
      </c>
      <c r="B85" s="4" t="s">
        <v>209</v>
      </c>
      <c r="C85" s="6" t="s">
        <v>188</v>
      </c>
      <c r="D85" s="22"/>
      <c r="E85" s="22"/>
      <c r="F85" s="22"/>
      <c r="G85" s="22"/>
      <c r="H85" s="22"/>
      <c r="I85" s="22"/>
      <c r="J85" s="28">
        <f t="shared" si="4"/>
        <v>0</v>
      </c>
      <c r="K85" s="28">
        <f t="shared" si="5"/>
        <v>0</v>
      </c>
      <c r="L85" s="28">
        <f t="shared" si="6"/>
        <v>0</v>
      </c>
      <c r="M85" s="28">
        <f t="shared" si="7"/>
        <v>0</v>
      </c>
      <c r="N85" s="51"/>
    </row>
    <row r="86" spans="1:14" x14ac:dyDescent="0.25">
      <c r="A86" s="27">
        <v>80</v>
      </c>
      <c r="B86" s="4" t="s">
        <v>209</v>
      </c>
      <c r="C86" s="6" t="s">
        <v>203</v>
      </c>
      <c r="D86" s="22"/>
      <c r="E86" s="22"/>
      <c r="F86" s="22"/>
      <c r="G86" s="22"/>
      <c r="H86" s="22"/>
      <c r="I86" s="22"/>
      <c r="J86" s="28">
        <f t="shared" si="4"/>
        <v>0</v>
      </c>
      <c r="K86" s="28">
        <f t="shared" si="5"/>
        <v>0</v>
      </c>
      <c r="L86" s="28">
        <f t="shared" si="6"/>
        <v>0</v>
      </c>
      <c r="M86" s="28">
        <f t="shared" si="7"/>
        <v>0</v>
      </c>
      <c r="N86" s="51"/>
    </row>
    <row r="87" spans="1:14" x14ac:dyDescent="0.25">
      <c r="A87" s="27">
        <v>81</v>
      </c>
      <c r="B87" s="4" t="s">
        <v>209</v>
      </c>
      <c r="C87" s="6" t="s">
        <v>204</v>
      </c>
      <c r="D87" s="22"/>
      <c r="E87" s="22"/>
      <c r="F87" s="22"/>
      <c r="G87" s="22"/>
      <c r="H87" s="22"/>
      <c r="I87" s="22"/>
      <c r="J87" s="28">
        <f t="shared" si="4"/>
        <v>0</v>
      </c>
      <c r="K87" s="28">
        <f t="shared" si="5"/>
        <v>0</v>
      </c>
      <c r="L87" s="28">
        <f t="shared" si="6"/>
        <v>0</v>
      </c>
      <c r="M87" s="28">
        <f t="shared" si="7"/>
        <v>0</v>
      </c>
      <c r="N87" s="51"/>
    </row>
    <row r="88" spans="1:14" x14ac:dyDescent="0.25">
      <c r="A88" s="27">
        <v>82</v>
      </c>
      <c r="B88" s="4" t="s">
        <v>209</v>
      </c>
      <c r="C88" s="6" t="s">
        <v>220</v>
      </c>
      <c r="D88" s="22"/>
      <c r="E88" s="22"/>
      <c r="F88" s="22"/>
      <c r="G88" s="22"/>
      <c r="H88" s="22"/>
      <c r="I88" s="22"/>
      <c r="J88" s="28">
        <f>E88-D88</f>
        <v>0</v>
      </c>
      <c r="K88" s="28">
        <f>G88-F88</f>
        <v>0</v>
      </c>
      <c r="L88" s="28">
        <f>I88-H88</f>
        <v>0</v>
      </c>
      <c r="M88" s="28">
        <f>J88+K88+L88</f>
        <v>0</v>
      </c>
      <c r="N88" s="51"/>
    </row>
    <row r="89" spans="1:14" x14ac:dyDescent="0.25">
      <c r="A89" s="27"/>
      <c r="B89" s="4"/>
      <c r="C89" s="7" t="s">
        <v>56</v>
      </c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51"/>
    </row>
  </sheetData>
  <mergeCells count="4">
    <mergeCell ref="B2:C2"/>
    <mergeCell ref="D1:E1"/>
    <mergeCell ref="F1:G1"/>
    <mergeCell ref="H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4"/>
  <sheetViews>
    <sheetView workbookViewId="0">
      <selection activeCell="J4" sqref="J4"/>
    </sheetView>
  </sheetViews>
  <sheetFormatPr defaultRowHeight="15" x14ac:dyDescent="0.25"/>
  <cols>
    <col min="2" max="2" width="35.42578125" style="24" bestFit="1" customWidth="1"/>
    <col min="3" max="3" width="10.7109375" style="24" bestFit="1" customWidth="1"/>
    <col min="4" max="4" width="16.7109375" bestFit="1" customWidth="1"/>
    <col min="5" max="7" width="10.7109375" bestFit="1" customWidth="1"/>
    <col min="8" max="9" width="10.7109375" customWidth="1"/>
    <col min="10" max="10" width="9.140625" style="18"/>
  </cols>
  <sheetData>
    <row r="1" spans="1:13" x14ac:dyDescent="0.25">
      <c r="A1" s="17" t="s">
        <v>125</v>
      </c>
      <c r="B1" s="25" t="s">
        <v>126</v>
      </c>
      <c r="C1" s="42"/>
      <c r="D1" s="152" t="s">
        <v>134</v>
      </c>
      <c r="E1" s="152"/>
      <c r="F1" s="152" t="s">
        <v>128</v>
      </c>
      <c r="G1" s="152"/>
      <c r="H1" s="47"/>
      <c r="I1" s="47"/>
      <c r="J1" s="18" t="s">
        <v>129</v>
      </c>
      <c r="K1" t="s">
        <v>129</v>
      </c>
      <c r="L1" t="s">
        <v>72</v>
      </c>
    </row>
    <row r="2" spans="1:13" x14ac:dyDescent="0.25">
      <c r="A2" s="4">
        <v>1</v>
      </c>
      <c r="B2" s="6" t="s">
        <v>169</v>
      </c>
      <c r="C2" s="26"/>
      <c r="D2" s="26">
        <v>42119</v>
      </c>
      <c r="E2" s="26">
        <v>42308</v>
      </c>
      <c r="F2" s="26"/>
      <c r="G2" s="26"/>
      <c r="H2" s="26"/>
      <c r="I2" s="26"/>
      <c r="J2" s="28">
        <v>0</v>
      </c>
      <c r="K2" s="22">
        <f>G2-F2</f>
        <v>0</v>
      </c>
      <c r="L2" s="22">
        <f>J2+K2</f>
        <v>0</v>
      </c>
    </row>
    <row r="3" spans="1:13" x14ac:dyDescent="0.25">
      <c r="A3" s="4">
        <v>2</v>
      </c>
      <c r="B3" s="6" t="s">
        <v>192</v>
      </c>
      <c r="C3" s="26">
        <v>42036</v>
      </c>
      <c r="D3" s="26">
        <v>42273</v>
      </c>
      <c r="E3" s="26">
        <v>42278</v>
      </c>
      <c r="F3" s="26"/>
      <c r="G3" s="26"/>
      <c r="H3" s="26"/>
      <c r="I3" s="26"/>
      <c r="J3" s="28">
        <f t="shared" ref="J3:J66" si="0">E3-D3</f>
        <v>5</v>
      </c>
      <c r="K3" s="22">
        <f t="shared" ref="K3:K66" si="1">G3-F3</f>
        <v>0</v>
      </c>
      <c r="L3" s="22">
        <f t="shared" ref="L3:L66" si="2">J3+K3</f>
        <v>5</v>
      </c>
    </row>
    <row r="4" spans="1:13" x14ac:dyDescent="0.25">
      <c r="A4" s="4">
        <v>3</v>
      </c>
      <c r="B4" s="6" t="s">
        <v>1</v>
      </c>
      <c r="C4" s="6"/>
      <c r="D4" s="26">
        <v>42010</v>
      </c>
      <c r="E4" s="26">
        <v>42013</v>
      </c>
      <c r="F4" s="26">
        <v>42163</v>
      </c>
      <c r="G4" s="26">
        <v>42169</v>
      </c>
      <c r="H4" s="26">
        <v>42326</v>
      </c>
      <c r="I4" s="26">
        <v>42331</v>
      </c>
      <c r="J4" s="28">
        <f>E4-D4</f>
        <v>3</v>
      </c>
      <c r="K4" s="22">
        <f>(G4-F4)+(I4-H4)</f>
        <v>11</v>
      </c>
      <c r="L4" s="22">
        <f t="shared" si="2"/>
        <v>14</v>
      </c>
    </row>
    <row r="5" spans="1:13" x14ac:dyDescent="0.25">
      <c r="A5" s="4">
        <v>4</v>
      </c>
      <c r="B5" s="38" t="s">
        <v>179</v>
      </c>
      <c r="C5" s="26" t="s">
        <v>70</v>
      </c>
      <c r="D5" s="26"/>
      <c r="E5" s="26"/>
      <c r="F5" s="26"/>
      <c r="G5" s="26"/>
      <c r="H5" s="26"/>
      <c r="I5" s="26"/>
      <c r="J5" s="28">
        <f t="shared" si="0"/>
        <v>0</v>
      </c>
      <c r="K5" s="22">
        <f t="shared" si="1"/>
        <v>0</v>
      </c>
      <c r="L5" s="22">
        <f t="shared" si="2"/>
        <v>0</v>
      </c>
    </row>
    <row r="6" spans="1:13" x14ac:dyDescent="0.25">
      <c r="A6" s="4">
        <v>5</v>
      </c>
      <c r="B6" s="11" t="s">
        <v>180</v>
      </c>
      <c r="C6" s="26" t="s">
        <v>70</v>
      </c>
      <c r="D6" s="26"/>
      <c r="E6" s="26"/>
      <c r="F6" s="26"/>
      <c r="G6" s="26"/>
      <c r="H6" s="26"/>
      <c r="I6" s="26"/>
      <c r="J6" s="28">
        <f t="shared" si="0"/>
        <v>0</v>
      </c>
      <c r="K6" s="22">
        <f t="shared" si="1"/>
        <v>0</v>
      </c>
      <c r="L6" s="22">
        <f t="shared" si="2"/>
        <v>0</v>
      </c>
    </row>
    <row r="7" spans="1:13" x14ac:dyDescent="0.25">
      <c r="A7" s="4">
        <v>6</v>
      </c>
      <c r="B7" s="31" t="s">
        <v>193</v>
      </c>
      <c r="C7" s="26">
        <v>42095</v>
      </c>
      <c r="D7" s="26"/>
      <c r="E7" s="26"/>
      <c r="F7" s="26"/>
      <c r="G7" s="26"/>
      <c r="H7" s="26"/>
      <c r="I7" s="26"/>
      <c r="J7" s="28">
        <f t="shared" si="0"/>
        <v>0</v>
      </c>
      <c r="K7" s="22">
        <f t="shared" si="1"/>
        <v>0</v>
      </c>
      <c r="L7" s="22">
        <f t="shared" si="2"/>
        <v>0</v>
      </c>
    </row>
    <row r="8" spans="1:13" x14ac:dyDescent="0.25">
      <c r="A8" s="4">
        <v>7</v>
      </c>
      <c r="B8" s="31" t="s">
        <v>42</v>
      </c>
      <c r="C8" s="26">
        <v>42186</v>
      </c>
      <c r="D8" s="26"/>
      <c r="E8" s="26"/>
      <c r="F8" s="26"/>
      <c r="G8" s="26"/>
      <c r="H8" s="26"/>
      <c r="I8" s="26"/>
      <c r="J8" s="28">
        <f t="shared" si="0"/>
        <v>0</v>
      </c>
      <c r="K8" s="22">
        <f t="shared" si="1"/>
        <v>0</v>
      </c>
      <c r="L8" s="22">
        <f t="shared" si="2"/>
        <v>0</v>
      </c>
    </row>
    <row r="9" spans="1:13" x14ac:dyDescent="0.25">
      <c r="A9" s="4">
        <v>8</v>
      </c>
      <c r="B9" s="6" t="s">
        <v>5</v>
      </c>
      <c r="C9" s="26"/>
      <c r="D9" s="26">
        <v>42278</v>
      </c>
      <c r="E9" s="26">
        <v>42343</v>
      </c>
      <c r="F9" s="22"/>
      <c r="G9" s="22"/>
      <c r="H9" s="22"/>
      <c r="I9" s="22"/>
      <c r="J9" s="28">
        <f t="shared" si="0"/>
        <v>65</v>
      </c>
      <c r="K9" s="22">
        <f t="shared" si="1"/>
        <v>0</v>
      </c>
      <c r="L9" s="22">
        <f t="shared" si="2"/>
        <v>65</v>
      </c>
      <c r="M9" s="37"/>
    </row>
    <row r="10" spans="1:13" x14ac:dyDescent="0.25">
      <c r="A10" s="4">
        <v>9</v>
      </c>
      <c r="B10" s="2" t="s">
        <v>6</v>
      </c>
      <c r="C10" s="26"/>
      <c r="D10" s="26">
        <v>42090</v>
      </c>
      <c r="E10" s="26">
        <v>42098</v>
      </c>
      <c r="F10" s="26">
        <v>42324</v>
      </c>
      <c r="G10" s="26">
        <v>42326</v>
      </c>
      <c r="H10" s="22"/>
      <c r="I10" s="22"/>
      <c r="J10" s="28">
        <f t="shared" si="0"/>
        <v>8</v>
      </c>
      <c r="K10" s="22">
        <f t="shared" si="1"/>
        <v>2</v>
      </c>
      <c r="L10" s="22">
        <f t="shared" si="2"/>
        <v>10</v>
      </c>
    </row>
    <row r="11" spans="1:13" x14ac:dyDescent="0.25">
      <c r="A11" s="4">
        <v>10</v>
      </c>
      <c r="B11" s="5" t="s">
        <v>9</v>
      </c>
      <c r="C11" s="26" t="s">
        <v>70</v>
      </c>
      <c r="D11" s="26"/>
      <c r="E11" s="26"/>
      <c r="F11" s="22"/>
      <c r="G11" s="22"/>
      <c r="H11" s="22"/>
      <c r="I11" s="22"/>
      <c r="J11" s="28">
        <f t="shared" si="0"/>
        <v>0</v>
      </c>
      <c r="K11" s="22">
        <f t="shared" si="1"/>
        <v>0</v>
      </c>
      <c r="L11" s="22">
        <f t="shared" si="2"/>
        <v>0</v>
      </c>
      <c r="M11" s="37"/>
    </row>
    <row r="12" spans="1:13" x14ac:dyDescent="0.25">
      <c r="A12" s="4">
        <v>11</v>
      </c>
      <c r="B12" s="5" t="s">
        <v>194</v>
      </c>
      <c r="C12" s="26">
        <v>42217</v>
      </c>
      <c r="D12" s="26"/>
      <c r="E12" s="26"/>
      <c r="F12" s="22"/>
      <c r="G12" s="22"/>
      <c r="H12" s="22"/>
      <c r="I12" s="22"/>
      <c r="J12" s="28">
        <f t="shared" si="0"/>
        <v>0</v>
      </c>
      <c r="K12" s="22">
        <f t="shared" si="1"/>
        <v>0</v>
      </c>
      <c r="L12" s="22">
        <f t="shared" si="2"/>
        <v>0</v>
      </c>
      <c r="M12" s="37"/>
    </row>
    <row r="13" spans="1:13" x14ac:dyDescent="0.25">
      <c r="A13" s="4">
        <v>12</v>
      </c>
      <c r="B13" s="7" t="s">
        <v>10</v>
      </c>
      <c r="C13" s="26"/>
      <c r="D13" s="26">
        <v>42005</v>
      </c>
      <c r="E13" s="26">
        <v>42015</v>
      </c>
      <c r="F13" s="26">
        <v>42186</v>
      </c>
      <c r="G13" s="26">
        <v>42205</v>
      </c>
      <c r="H13" s="26">
        <v>42308</v>
      </c>
      <c r="I13" s="26">
        <v>42310</v>
      </c>
      <c r="J13" s="28">
        <f t="shared" si="0"/>
        <v>10</v>
      </c>
      <c r="K13" s="22">
        <f>(G13-F13)+(I13-H13)</f>
        <v>21</v>
      </c>
      <c r="L13" s="22">
        <f t="shared" si="2"/>
        <v>31</v>
      </c>
    </row>
    <row r="14" spans="1:13" x14ac:dyDescent="0.25">
      <c r="A14" s="4">
        <v>13</v>
      </c>
      <c r="B14" s="6" t="s">
        <v>11</v>
      </c>
      <c r="C14" s="26"/>
      <c r="D14" s="26">
        <v>42129</v>
      </c>
      <c r="E14" s="26">
        <v>42160</v>
      </c>
      <c r="F14" s="22"/>
      <c r="G14" s="22"/>
      <c r="H14" s="22"/>
      <c r="I14" s="22"/>
      <c r="J14" s="28">
        <f t="shared" si="0"/>
        <v>31</v>
      </c>
      <c r="K14" s="22">
        <f t="shared" si="1"/>
        <v>0</v>
      </c>
      <c r="L14" s="22">
        <f t="shared" si="2"/>
        <v>31</v>
      </c>
    </row>
    <row r="15" spans="1:13" x14ac:dyDescent="0.25">
      <c r="A15" s="4">
        <v>14</v>
      </c>
      <c r="B15" s="1" t="s">
        <v>12</v>
      </c>
      <c r="C15" s="26"/>
      <c r="D15" s="26">
        <v>42114</v>
      </c>
      <c r="E15" s="26">
        <v>42127</v>
      </c>
      <c r="F15" s="26"/>
      <c r="G15" s="26"/>
      <c r="H15" s="26"/>
      <c r="I15" s="26"/>
      <c r="J15" s="28">
        <f t="shared" si="0"/>
        <v>13</v>
      </c>
      <c r="K15" s="22">
        <f t="shared" si="1"/>
        <v>0</v>
      </c>
      <c r="L15" s="22">
        <f t="shared" si="2"/>
        <v>13</v>
      </c>
    </row>
    <row r="16" spans="1:13" x14ac:dyDescent="0.25">
      <c r="A16" s="4">
        <v>15</v>
      </c>
      <c r="B16" s="1" t="s">
        <v>13</v>
      </c>
      <c r="C16" s="26" t="s">
        <v>70</v>
      </c>
      <c r="D16" s="26"/>
      <c r="E16" s="26"/>
      <c r="F16" s="22"/>
      <c r="G16" s="22"/>
      <c r="H16" s="22"/>
      <c r="I16" s="22"/>
      <c r="J16" s="28">
        <f t="shared" si="0"/>
        <v>0</v>
      </c>
      <c r="K16" s="22">
        <f t="shared" si="1"/>
        <v>0</v>
      </c>
      <c r="L16" s="22">
        <f t="shared" si="2"/>
        <v>0</v>
      </c>
    </row>
    <row r="17" spans="1:13" x14ac:dyDescent="0.25">
      <c r="A17" s="4">
        <v>16</v>
      </c>
      <c r="B17" s="1" t="s">
        <v>145</v>
      </c>
      <c r="C17" s="26" t="s">
        <v>70</v>
      </c>
      <c r="D17" s="26"/>
      <c r="E17" s="26"/>
      <c r="F17" s="22"/>
      <c r="G17" s="22"/>
      <c r="H17" s="22"/>
      <c r="I17" s="22"/>
      <c r="J17" s="28">
        <f t="shared" si="0"/>
        <v>0</v>
      </c>
      <c r="K17" s="22">
        <f t="shared" si="1"/>
        <v>0</v>
      </c>
      <c r="L17" s="22">
        <f t="shared" si="2"/>
        <v>0</v>
      </c>
    </row>
    <row r="18" spans="1:13" x14ac:dyDescent="0.25">
      <c r="A18" s="4">
        <v>17</v>
      </c>
      <c r="B18" s="5" t="s">
        <v>16</v>
      </c>
      <c r="C18" s="26"/>
      <c r="D18" s="26">
        <v>42095</v>
      </c>
      <c r="E18" s="26">
        <v>42099</v>
      </c>
      <c r="F18" s="30">
        <v>42367</v>
      </c>
      <c r="G18" s="30">
        <v>42369</v>
      </c>
      <c r="J18" s="28">
        <f t="shared" si="0"/>
        <v>4</v>
      </c>
      <c r="K18" s="22">
        <f t="shared" si="1"/>
        <v>2</v>
      </c>
      <c r="L18" s="22">
        <f t="shared" si="2"/>
        <v>6</v>
      </c>
    </row>
    <row r="19" spans="1:13" x14ac:dyDescent="0.25">
      <c r="A19" s="4">
        <v>18</v>
      </c>
      <c r="B19" s="6" t="s">
        <v>21</v>
      </c>
      <c r="C19" s="26"/>
      <c r="D19" s="26">
        <v>42096</v>
      </c>
      <c r="E19" s="26">
        <v>42146</v>
      </c>
      <c r="F19" s="22"/>
      <c r="G19" s="22"/>
      <c r="H19" s="22"/>
      <c r="I19" s="22"/>
      <c r="J19" s="28">
        <f t="shared" si="0"/>
        <v>50</v>
      </c>
      <c r="K19" s="22">
        <f t="shared" si="1"/>
        <v>0</v>
      </c>
      <c r="L19" s="22">
        <f t="shared" si="2"/>
        <v>50</v>
      </c>
    </row>
    <row r="20" spans="1:13" x14ac:dyDescent="0.25">
      <c r="A20" s="4">
        <v>19</v>
      </c>
      <c r="B20" s="6" t="s">
        <v>22</v>
      </c>
      <c r="C20" s="26" t="s">
        <v>70</v>
      </c>
      <c r="D20" s="26"/>
      <c r="E20" s="26"/>
      <c r="F20" s="22"/>
      <c r="G20" s="22"/>
      <c r="H20" s="22"/>
      <c r="I20" s="22"/>
      <c r="J20" s="28">
        <f t="shared" si="0"/>
        <v>0</v>
      </c>
      <c r="K20" s="22">
        <f t="shared" si="1"/>
        <v>0</v>
      </c>
      <c r="L20" s="22">
        <f t="shared" si="2"/>
        <v>0</v>
      </c>
    </row>
    <row r="21" spans="1:13" x14ac:dyDescent="0.25">
      <c r="A21" s="4">
        <v>20</v>
      </c>
      <c r="B21" s="6" t="s">
        <v>25</v>
      </c>
      <c r="C21" s="26"/>
      <c r="D21" s="26">
        <v>42278</v>
      </c>
      <c r="E21" s="26">
        <v>42315</v>
      </c>
      <c r="F21" s="22"/>
      <c r="G21" s="22"/>
      <c r="H21" s="22"/>
      <c r="I21" s="22"/>
      <c r="J21" s="28">
        <f t="shared" si="0"/>
        <v>37</v>
      </c>
      <c r="K21" s="22">
        <f t="shared" si="1"/>
        <v>0</v>
      </c>
      <c r="L21" s="22">
        <f t="shared" si="2"/>
        <v>37</v>
      </c>
      <c r="M21" s="37"/>
    </row>
    <row r="22" spans="1:13" x14ac:dyDescent="0.25">
      <c r="A22" s="4">
        <v>21</v>
      </c>
      <c r="B22" s="6" t="s">
        <v>26</v>
      </c>
      <c r="C22" s="26"/>
      <c r="D22" s="26">
        <v>42220</v>
      </c>
      <c r="E22" s="26">
        <v>42285</v>
      </c>
      <c r="F22" s="22"/>
      <c r="G22" s="22"/>
      <c r="H22" s="22"/>
      <c r="I22" s="22"/>
      <c r="J22" s="28">
        <f t="shared" si="0"/>
        <v>65</v>
      </c>
      <c r="K22" s="22">
        <f t="shared" si="1"/>
        <v>0</v>
      </c>
      <c r="L22" s="22">
        <f t="shared" si="2"/>
        <v>65</v>
      </c>
      <c r="M22" s="37"/>
    </row>
    <row r="23" spans="1:13" x14ac:dyDescent="0.25">
      <c r="A23" s="4">
        <v>22</v>
      </c>
      <c r="B23" s="6" t="s">
        <v>135</v>
      </c>
      <c r="C23" s="26"/>
      <c r="D23" s="26">
        <v>42276</v>
      </c>
      <c r="E23" s="26">
        <v>42345</v>
      </c>
      <c r="F23" s="22"/>
      <c r="G23" s="22"/>
      <c r="H23" s="22"/>
      <c r="I23" s="22"/>
      <c r="J23" s="28">
        <f t="shared" si="0"/>
        <v>69</v>
      </c>
      <c r="K23" s="22">
        <f t="shared" si="1"/>
        <v>0</v>
      </c>
      <c r="L23" s="22">
        <f t="shared" si="2"/>
        <v>69</v>
      </c>
      <c r="M23" s="37"/>
    </row>
    <row r="24" spans="1:13" x14ac:dyDescent="0.25">
      <c r="A24" s="4">
        <v>23</v>
      </c>
      <c r="B24" s="6" t="s">
        <v>136</v>
      </c>
      <c r="C24" s="6"/>
      <c r="D24" s="26">
        <v>42005</v>
      </c>
      <c r="E24" s="26">
        <v>42023</v>
      </c>
      <c r="F24" s="22"/>
      <c r="G24" s="22"/>
      <c r="H24" s="22"/>
      <c r="I24" s="22"/>
      <c r="J24" s="28">
        <f t="shared" si="0"/>
        <v>18</v>
      </c>
      <c r="K24" s="22">
        <f t="shared" si="1"/>
        <v>0</v>
      </c>
      <c r="L24" s="22">
        <f t="shared" si="2"/>
        <v>18</v>
      </c>
    </row>
    <row r="25" spans="1:13" x14ac:dyDescent="0.25">
      <c r="A25" s="4">
        <v>24</v>
      </c>
      <c r="B25" s="6" t="s">
        <v>137</v>
      </c>
      <c r="C25" s="6" t="s">
        <v>70</v>
      </c>
      <c r="D25" s="26"/>
      <c r="E25" s="22"/>
      <c r="F25" s="22"/>
      <c r="G25" s="22"/>
      <c r="H25" s="22"/>
      <c r="I25" s="22"/>
      <c r="J25" s="28">
        <f t="shared" si="0"/>
        <v>0</v>
      </c>
      <c r="K25" s="22">
        <f t="shared" si="1"/>
        <v>0</v>
      </c>
      <c r="L25" s="22">
        <f t="shared" si="2"/>
        <v>0</v>
      </c>
    </row>
    <row r="26" spans="1:13" x14ac:dyDescent="0.25">
      <c r="A26" s="4">
        <v>25</v>
      </c>
      <c r="B26" s="6" t="s">
        <v>138</v>
      </c>
      <c r="C26" s="6"/>
      <c r="D26" s="26">
        <v>42050</v>
      </c>
      <c r="E26" s="26">
        <v>42124</v>
      </c>
      <c r="F26" s="22"/>
      <c r="G26" s="22"/>
      <c r="H26" s="22"/>
      <c r="I26" s="22"/>
      <c r="J26" s="28">
        <f t="shared" si="0"/>
        <v>74</v>
      </c>
      <c r="K26" s="22">
        <f t="shared" si="1"/>
        <v>0</v>
      </c>
      <c r="L26" s="22">
        <f t="shared" si="2"/>
        <v>74</v>
      </c>
    </row>
    <row r="27" spans="1:13" x14ac:dyDescent="0.25">
      <c r="A27" s="4">
        <v>26</v>
      </c>
      <c r="B27" s="6" t="s">
        <v>152</v>
      </c>
      <c r="C27" s="6"/>
      <c r="D27" s="26">
        <v>42251</v>
      </c>
      <c r="E27" s="26">
        <v>42331</v>
      </c>
      <c r="F27" s="22"/>
      <c r="G27" s="22"/>
      <c r="H27" s="22"/>
      <c r="I27" s="22"/>
      <c r="J27" s="28">
        <f t="shared" si="0"/>
        <v>80</v>
      </c>
      <c r="K27" s="22">
        <f t="shared" si="1"/>
        <v>0</v>
      </c>
      <c r="L27" s="22">
        <f t="shared" si="2"/>
        <v>80</v>
      </c>
      <c r="M27" s="37"/>
    </row>
    <row r="28" spans="1:13" x14ac:dyDescent="0.25">
      <c r="A28" s="4">
        <v>27</v>
      </c>
      <c r="B28" s="6" t="s">
        <v>153</v>
      </c>
      <c r="C28" s="6"/>
      <c r="D28" s="26">
        <v>42005</v>
      </c>
      <c r="E28" s="26">
        <v>42025</v>
      </c>
      <c r="F28" s="26">
        <v>42276</v>
      </c>
      <c r="G28" s="26">
        <v>42352</v>
      </c>
      <c r="H28" s="26"/>
      <c r="I28" s="26"/>
      <c r="J28" s="28">
        <f t="shared" si="0"/>
        <v>20</v>
      </c>
      <c r="K28" s="22">
        <f t="shared" si="1"/>
        <v>76</v>
      </c>
      <c r="L28" s="22">
        <f t="shared" si="2"/>
        <v>96</v>
      </c>
      <c r="M28" s="37"/>
    </row>
    <row r="29" spans="1:13" x14ac:dyDescent="0.25">
      <c r="A29" s="4">
        <v>28</v>
      </c>
      <c r="B29" s="6" t="s">
        <v>161</v>
      </c>
      <c r="C29" s="1"/>
      <c r="D29" s="26">
        <v>42212</v>
      </c>
      <c r="E29" s="26">
        <v>42253</v>
      </c>
      <c r="F29" s="26"/>
      <c r="G29" s="26"/>
      <c r="H29" s="26"/>
      <c r="I29" s="26"/>
      <c r="J29" s="28">
        <f t="shared" si="0"/>
        <v>41</v>
      </c>
      <c r="K29" s="22">
        <f t="shared" si="1"/>
        <v>0</v>
      </c>
      <c r="L29" s="22">
        <f t="shared" si="2"/>
        <v>41</v>
      </c>
    </row>
    <row r="30" spans="1:13" x14ac:dyDescent="0.25">
      <c r="A30" s="4">
        <v>29</v>
      </c>
      <c r="B30" s="6" t="s">
        <v>162</v>
      </c>
      <c r="C30" s="1" t="s">
        <v>70</v>
      </c>
      <c r="D30" s="26">
        <v>42334</v>
      </c>
      <c r="E30" s="26">
        <v>42369</v>
      </c>
      <c r="F30" s="22"/>
      <c r="G30" s="22"/>
      <c r="H30" s="22"/>
      <c r="I30" s="22"/>
      <c r="J30" s="28">
        <f t="shared" si="0"/>
        <v>35</v>
      </c>
      <c r="K30" s="22">
        <f t="shared" si="1"/>
        <v>0</v>
      </c>
      <c r="L30" s="22">
        <f t="shared" si="2"/>
        <v>35</v>
      </c>
    </row>
    <row r="31" spans="1:13" x14ac:dyDescent="0.25">
      <c r="A31" s="4">
        <v>30</v>
      </c>
      <c r="B31" s="6" t="s">
        <v>163</v>
      </c>
      <c r="C31" s="1" t="s">
        <v>70</v>
      </c>
      <c r="D31" s="26">
        <v>42005</v>
      </c>
      <c r="E31" s="26">
        <v>42007</v>
      </c>
      <c r="F31" s="22"/>
      <c r="G31" s="22"/>
      <c r="H31" s="22"/>
      <c r="I31" s="22"/>
      <c r="J31" s="28">
        <f t="shared" si="0"/>
        <v>2</v>
      </c>
      <c r="K31" s="22">
        <f t="shared" si="1"/>
        <v>0</v>
      </c>
      <c r="L31" s="22">
        <f t="shared" si="2"/>
        <v>2</v>
      </c>
    </row>
    <row r="32" spans="1:13" x14ac:dyDescent="0.25">
      <c r="A32" s="4">
        <v>31</v>
      </c>
      <c r="B32" s="6" t="s">
        <v>164</v>
      </c>
      <c r="C32" s="1" t="s">
        <v>70</v>
      </c>
      <c r="D32" s="26"/>
      <c r="E32" s="26"/>
      <c r="F32" s="22"/>
      <c r="G32" s="22"/>
      <c r="H32" s="22"/>
      <c r="I32" s="22"/>
      <c r="J32" s="28">
        <f t="shared" si="0"/>
        <v>0</v>
      </c>
      <c r="K32" s="22">
        <f t="shared" si="1"/>
        <v>0</v>
      </c>
      <c r="L32" s="22">
        <f t="shared" si="2"/>
        <v>0</v>
      </c>
    </row>
    <row r="33" spans="1:12" x14ac:dyDescent="0.25">
      <c r="A33" s="4">
        <v>32</v>
      </c>
      <c r="B33" s="6" t="s">
        <v>167</v>
      </c>
      <c r="C33" s="1"/>
      <c r="D33" s="26">
        <v>42095</v>
      </c>
      <c r="E33" s="26">
        <v>42108</v>
      </c>
      <c r="F33" s="22"/>
      <c r="G33" s="22"/>
      <c r="H33" s="22"/>
      <c r="I33" s="22"/>
      <c r="J33" s="28">
        <f t="shared" si="0"/>
        <v>13</v>
      </c>
      <c r="K33" s="22">
        <f t="shared" si="1"/>
        <v>0</v>
      </c>
      <c r="L33" s="22">
        <f t="shared" si="2"/>
        <v>13</v>
      </c>
    </row>
    <row r="34" spans="1:12" x14ac:dyDescent="0.25">
      <c r="A34" s="4">
        <v>33</v>
      </c>
      <c r="B34" s="36" t="s">
        <v>165</v>
      </c>
      <c r="C34" s="1" t="s">
        <v>70</v>
      </c>
      <c r="D34" s="26"/>
      <c r="E34" s="22"/>
      <c r="F34" s="22"/>
      <c r="G34" s="22"/>
      <c r="H34" s="22"/>
      <c r="I34" s="22"/>
      <c r="J34" s="28">
        <f t="shared" si="0"/>
        <v>0</v>
      </c>
      <c r="K34" s="22">
        <f t="shared" si="1"/>
        <v>0</v>
      </c>
      <c r="L34" s="22">
        <f t="shared" si="2"/>
        <v>0</v>
      </c>
    </row>
    <row r="35" spans="1:12" x14ac:dyDescent="0.25">
      <c r="A35" s="4">
        <v>34</v>
      </c>
      <c r="B35" s="36" t="s">
        <v>166</v>
      </c>
      <c r="C35" s="1" t="s">
        <v>70</v>
      </c>
      <c r="D35" s="26">
        <v>42313</v>
      </c>
      <c r="E35" s="26">
        <v>42346</v>
      </c>
      <c r="F35" s="26"/>
      <c r="G35" s="26"/>
      <c r="H35" s="26"/>
      <c r="I35" s="26"/>
      <c r="J35" s="28">
        <f t="shared" si="0"/>
        <v>33</v>
      </c>
      <c r="K35" s="22">
        <f t="shared" si="1"/>
        <v>0</v>
      </c>
      <c r="L35" s="22">
        <f t="shared" si="2"/>
        <v>33</v>
      </c>
    </row>
    <row r="36" spans="1:12" x14ac:dyDescent="0.25">
      <c r="A36" s="4">
        <v>35</v>
      </c>
      <c r="B36" s="6" t="s">
        <v>170</v>
      </c>
      <c r="C36" s="1"/>
      <c r="D36" s="26">
        <v>42114</v>
      </c>
      <c r="E36" s="26">
        <v>42132</v>
      </c>
      <c r="F36" s="26"/>
      <c r="G36" s="22"/>
      <c r="H36" s="22"/>
      <c r="I36" s="22"/>
      <c r="J36" s="28">
        <f t="shared" si="0"/>
        <v>18</v>
      </c>
      <c r="K36" s="22">
        <f t="shared" si="1"/>
        <v>0</v>
      </c>
      <c r="L36" s="22">
        <f t="shared" si="2"/>
        <v>18</v>
      </c>
    </row>
    <row r="37" spans="1:12" x14ac:dyDescent="0.25">
      <c r="A37" s="4">
        <v>36</v>
      </c>
      <c r="B37" s="6" t="s">
        <v>171</v>
      </c>
      <c r="C37" s="1"/>
      <c r="D37" s="26">
        <v>42227</v>
      </c>
      <c r="E37" s="26">
        <v>42272</v>
      </c>
      <c r="F37" s="26"/>
      <c r="G37" s="22"/>
      <c r="H37" s="22"/>
      <c r="I37" s="22"/>
      <c r="J37" s="28">
        <f t="shared" si="0"/>
        <v>45</v>
      </c>
      <c r="K37" s="22">
        <f t="shared" si="1"/>
        <v>0</v>
      </c>
      <c r="L37" s="22">
        <f t="shared" si="2"/>
        <v>45</v>
      </c>
    </row>
    <row r="38" spans="1:12" x14ac:dyDescent="0.25">
      <c r="A38" s="4">
        <v>37</v>
      </c>
      <c r="B38" s="6" t="s">
        <v>172</v>
      </c>
      <c r="C38" s="1"/>
      <c r="D38" s="26">
        <v>42319</v>
      </c>
      <c r="E38" s="26">
        <v>42367</v>
      </c>
      <c r="F38" s="26"/>
      <c r="G38" s="22"/>
      <c r="H38" s="22"/>
      <c r="I38" s="22"/>
      <c r="J38" s="28">
        <f t="shared" si="0"/>
        <v>48</v>
      </c>
      <c r="K38" s="22">
        <f t="shared" si="1"/>
        <v>0</v>
      </c>
      <c r="L38" s="22">
        <f t="shared" si="2"/>
        <v>48</v>
      </c>
    </row>
    <row r="39" spans="1:12" x14ac:dyDescent="0.25">
      <c r="A39" s="4">
        <v>38</v>
      </c>
      <c r="B39" s="6" t="s">
        <v>173</v>
      </c>
      <c r="C39" s="1"/>
      <c r="D39" s="26">
        <v>42310</v>
      </c>
      <c r="E39" s="26">
        <v>42364</v>
      </c>
      <c r="F39" s="26"/>
      <c r="G39" s="22"/>
      <c r="H39" s="22"/>
      <c r="I39" s="22"/>
      <c r="J39" s="28">
        <f t="shared" si="0"/>
        <v>54</v>
      </c>
      <c r="K39" s="22">
        <f t="shared" si="1"/>
        <v>0</v>
      </c>
      <c r="L39" s="22">
        <f t="shared" si="2"/>
        <v>54</v>
      </c>
    </row>
    <row r="40" spans="1:12" x14ac:dyDescent="0.25">
      <c r="A40" s="4">
        <v>39</v>
      </c>
      <c r="B40" s="6" t="s">
        <v>174</v>
      </c>
      <c r="C40" s="1" t="s">
        <v>70</v>
      </c>
      <c r="D40" s="26"/>
      <c r="E40" s="26"/>
      <c r="F40" s="26"/>
      <c r="G40" s="22"/>
      <c r="H40" s="22"/>
      <c r="I40" s="22"/>
      <c r="J40" s="28">
        <f t="shared" si="0"/>
        <v>0</v>
      </c>
      <c r="K40" s="22">
        <f t="shared" si="1"/>
        <v>0</v>
      </c>
      <c r="L40" s="22">
        <f t="shared" si="2"/>
        <v>0</v>
      </c>
    </row>
    <row r="41" spans="1:12" x14ac:dyDescent="0.25">
      <c r="A41" s="4">
        <v>40</v>
      </c>
      <c r="B41" s="6" t="s">
        <v>175</v>
      </c>
      <c r="C41" s="6"/>
      <c r="D41" s="26">
        <v>42030</v>
      </c>
      <c r="E41" s="26">
        <v>42040</v>
      </c>
      <c r="F41" s="26">
        <v>42156</v>
      </c>
      <c r="G41" s="26">
        <v>42216</v>
      </c>
      <c r="H41" s="26"/>
      <c r="I41" s="26"/>
      <c r="J41" s="28">
        <f t="shared" si="0"/>
        <v>10</v>
      </c>
      <c r="K41" s="22">
        <f t="shared" si="1"/>
        <v>60</v>
      </c>
      <c r="L41" s="22">
        <f t="shared" si="2"/>
        <v>70</v>
      </c>
    </row>
    <row r="42" spans="1:12" x14ac:dyDescent="0.25">
      <c r="A42" s="4">
        <v>41</v>
      </c>
      <c r="B42" s="38" t="s">
        <v>182</v>
      </c>
      <c r="C42" s="1" t="s">
        <v>70</v>
      </c>
      <c r="D42" s="26"/>
      <c r="E42" s="26"/>
      <c r="F42" s="26"/>
      <c r="G42" s="22"/>
      <c r="H42" s="22"/>
      <c r="I42" s="22"/>
      <c r="J42" s="28">
        <f t="shared" si="0"/>
        <v>0</v>
      </c>
      <c r="K42" s="22">
        <f t="shared" si="1"/>
        <v>0</v>
      </c>
      <c r="L42" s="22">
        <f t="shared" si="2"/>
        <v>0</v>
      </c>
    </row>
    <row r="43" spans="1:12" x14ac:dyDescent="0.25">
      <c r="A43" s="4">
        <v>42</v>
      </c>
      <c r="B43" s="38" t="s">
        <v>183</v>
      </c>
      <c r="C43" s="1" t="s">
        <v>70</v>
      </c>
      <c r="D43" s="26"/>
      <c r="E43" s="26"/>
      <c r="F43" s="26"/>
      <c r="G43" s="22"/>
      <c r="H43" s="22"/>
      <c r="I43" s="22"/>
      <c r="J43" s="28">
        <f t="shared" si="0"/>
        <v>0</v>
      </c>
      <c r="K43" s="22">
        <f t="shared" si="1"/>
        <v>0</v>
      </c>
      <c r="L43" s="22">
        <f t="shared" si="2"/>
        <v>0</v>
      </c>
    </row>
    <row r="44" spans="1:12" x14ac:dyDescent="0.25">
      <c r="A44" s="4">
        <v>43</v>
      </c>
      <c r="B44" s="6" t="s">
        <v>42</v>
      </c>
      <c r="C44" s="1" t="s">
        <v>70</v>
      </c>
      <c r="D44" s="26"/>
      <c r="E44" s="26"/>
      <c r="F44" s="22"/>
      <c r="G44" s="22"/>
      <c r="H44" s="22"/>
      <c r="I44" s="22"/>
      <c r="J44" s="28">
        <f t="shared" si="0"/>
        <v>0</v>
      </c>
      <c r="K44" s="22">
        <f t="shared" si="1"/>
        <v>0</v>
      </c>
      <c r="L44" s="22">
        <f t="shared" si="2"/>
        <v>0</v>
      </c>
    </row>
    <row r="45" spans="1:12" x14ac:dyDescent="0.25">
      <c r="A45" s="4">
        <v>44</v>
      </c>
      <c r="B45" s="6" t="s">
        <v>195</v>
      </c>
      <c r="C45" s="44">
        <v>42005</v>
      </c>
      <c r="D45" s="26"/>
      <c r="E45" s="26"/>
      <c r="F45" s="26"/>
      <c r="G45" s="22"/>
      <c r="H45" s="22"/>
      <c r="I45" s="22"/>
      <c r="J45" s="28">
        <f t="shared" si="0"/>
        <v>0</v>
      </c>
      <c r="K45" s="22">
        <f t="shared" si="1"/>
        <v>0</v>
      </c>
      <c r="L45" s="22">
        <f t="shared" si="2"/>
        <v>0</v>
      </c>
    </row>
    <row r="46" spans="1:12" x14ac:dyDescent="0.25">
      <c r="A46" s="4">
        <v>45</v>
      </c>
      <c r="B46" s="6" t="s">
        <v>196</v>
      </c>
      <c r="C46" s="44">
        <v>42005</v>
      </c>
      <c r="D46" s="26"/>
      <c r="E46" s="26"/>
      <c r="F46" s="26"/>
      <c r="G46" s="22"/>
      <c r="H46" s="22"/>
      <c r="I46" s="22"/>
      <c r="J46" s="28">
        <f t="shared" si="0"/>
        <v>0</v>
      </c>
      <c r="K46" s="22">
        <f t="shared" si="1"/>
        <v>0</v>
      </c>
      <c r="L46" s="22">
        <f t="shared" si="2"/>
        <v>0</v>
      </c>
    </row>
    <row r="47" spans="1:12" x14ac:dyDescent="0.25">
      <c r="A47" s="4">
        <v>46</v>
      </c>
      <c r="B47" s="6" t="s">
        <v>197</v>
      </c>
      <c r="C47" s="44">
        <v>42064</v>
      </c>
      <c r="D47" s="26"/>
      <c r="E47" s="26"/>
      <c r="F47" s="26"/>
      <c r="G47" s="22"/>
      <c r="H47" s="22"/>
      <c r="I47" s="22"/>
      <c r="J47" s="28">
        <f t="shared" si="0"/>
        <v>0</v>
      </c>
      <c r="K47" s="22">
        <f t="shared" si="1"/>
        <v>0</v>
      </c>
      <c r="L47" s="22">
        <f t="shared" si="2"/>
        <v>0</v>
      </c>
    </row>
    <row r="48" spans="1:12" x14ac:dyDescent="0.25">
      <c r="A48" s="4">
        <v>47</v>
      </c>
      <c r="B48" s="6" t="s">
        <v>198</v>
      </c>
      <c r="C48" s="44">
        <v>42064</v>
      </c>
      <c r="D48" s="26"/>
      <c r="E48" s="26"/>
      <c r="F48" s="26"/>
      <c r="G48" s="22"/>
      <c r="H48" s="22"/>
      <c r="I48" s="22"/>
      <c r="J48" s="28">
        <f t="shared" si="0"/>
        <v>0</v>
      </c>
      <c r="K48" s="22">
        <f t="shared" si="1"/>
        <v>0</v>
      </c>
      <c r="L48" s="22">
        <f t="shared" si="2"/>
        <v>0</v>
      </c>
    </row>
    <row r="49" spans="1:13" x14ac:dyDescent="0.25">
      <c r="A49" s="4">
        <v>48</v>
      </c>
      <c r="B49" s="6" t="s">
        <v>199</v>
      </c>
      <c r="C49" s="44">
        <v>42156</v>
      </c>
      <c r="D49" s="26"/>
      <c r="E49" s="26"/>
      <c r="F49" s="26"/>
      <c r="G49" s="22"/>
      <c r="H49" s="22"/>
      <c r="I49" s="22"/>
      <c r="J49" s="28">
        <f t="shared" si="0"/>
        <v>0</v>
      </c>
      <c r="K49" s="22">
        <f t="shared" si="1"/>
        <v>0</v>
      </c>
      <c r="L49" s="22">
        <f t="shared" si="2"/>
        <v>0</v>
      </c>
    </row>
    <row r="50" spans="1:13" x14ac:dyDescent="0.25">
      <c r="A50" s="4">
        <v>49</v>
      </c>
      <c r="B50" s="43" t="s">
        <v>200</v>
      </c>
      <c r="C50" s="44">
        <v>42248</v>
      </c>
      <c r="D50" s="26"/>
      <c r="E50" s="26"/>
      <c r="F50" s="26"/>
      <c r="G50" s="22"/>
      <c r="H50" s="22"/>
      <c r="I50" s="22"/>
      <c r="J50" s="28">
        <f t="shared" si="0"/>
        <v>0</v>
      </c>
      <c r="K50" s="22">
        <f t="shared" si="1"/>
        <v>0</v>
      </c>
      <c r="L50" s="22">
        <f t="shared" si="2"/>
        <v>0</v>
      </c>
    </row>
    <row r="51" spans="1:13" x14ac:dyDescent="0.25">
      <c r="A51" s="4">
        <v>50</v>
      </c>
      <c r="B51" s="6" t="s">
        <v>201</v>
      </c>
      <c r="C51" s="44">
        <v>42248</v>
      </c>
      <c r="D51" s="26"/>
      <c r="E51" s="26"/>
      <c r="F51" s="26"/>
      <c r="G51" s="22"/>
      <c r="H51" s="22"/>
      <c r="I51" s="22"/>
      <c r="J51" s="28">
        <f t="shared" si="0"/>
        <v>0</v>
      </c>
      <c r="K51" s="22">
        <f t="shared" si="1"/>
        <v>0</v>
      </c>
      <c r="L51" s="22">
        <f t="shared" si="2"/>
        <v>0</v>
      </c>
    </row>
    <row r="52" spans="1:13" x14ac:dyDescent="0.25">
      <c r="A52" s="4"/>
      <c r="B52" s="6" t="s">
        <v>206</v>
      </c>
      <c r="C52" s="44">
        <v>42324</v>
      </c>
      <c r="D52" s="26"/>
      <c r="E52" s="26"/>
      <c r="F52" s="26"/>
      <c r="G52" s="22"/>
      <c r="H52" s="22"/>
      <c r="I52" s="22"/>
      <c r="J52" s="28"/>
      <c r="K52" s="22"/>
      <c r="L52" s="22"/>
    </row>
    <row r="53" spans="1:13" x14ac:dyDescent="0.25">
      <c r="A53" s="4">
        <v>51</v>
      </c>
      <c r="B53" s="2" t="s">
        <v>28</v>
      </c>
      <c r="C53" s="1"/>
      <c r="D53" s="26">
        <v>42160</v>
      </c>
      <c r="E53" s="26">
        <v>42212</v>
      </c>
      <c r="F53" s="26">
        <v>42343</v>
      </c>
      <c r="G53" s="26">
        <v>42369</v>
      </c>
      <c r="H53" s="22"/>
      <c r="I53" s="22"/>
      <c r="J53" s="28">
        <f t="shared" si="0"/>
        <v>52</v>
      </c>
      <c r="K53" s="22">
        <f t="shared" si="1"/>
        <v>26</v>
      </c>
      <c r="L53" s="22">
        <f t="shared" si="2"/>
        <v>78</v>
      </c>
      <c r="M53" t="s">
        <v>207</v>
      </c>
    </row>
    <row r="54" spans="1:13" x14ac:dyDescent="0.25">
      <c r="A54" s="4">
        <v>52</v>
      </c>
      <c r="B54" s="1" t="s">
        <v>29</v>
      </c>
      <c r="C54" s="1"/>
      <c r="D54" s="26">
        <v>42318</v>
      </c>
      <c r="E54" s="26">
        <v>42339</v>
      </c>
      <c r="F54" s="22"/>
      <c r="G54" s="22"/>
      <c r="H54" s="22"/>
      <c r="I54" s="22"/>
      <c r="J54" s="28">
        <f t="shared" si="0"/>
        <v>21</v>
      </c>
      <c r="K54" s="22">
        <f t="shared" si="1"/>
        <v>0</v>
      </c>
      <c r="L54" s="22">
        <f t="shared" si="2"/>
        <v>21</v>
      </c>
    </row>
    <row r="55" spans="1:13" x14ac:dyDescent="0.25">
      <c r="A55" s="4">
        <v>53</v>
      </c>
      <c r="B55" s="1" t="s">
        <v>30</v>
      </c>
      <c r="C55" s="1"/>
      <c r="D55" s="26">
        <v>42005</v>
      </c>
      <c r="E55" s="26">
        <v>42040</v>
      </c>
      <c r="F55" s="22"/>
      <c r="G55" s="22"/>
      <c r="H55" s="22"/>
      <c r="I55" s="22"/>
      <c r="J55" s="28">
        <f t="shared" si="0"/>
        <v>35</v>
      </c>
      <c r="K55" s="22">
        <f t="shared" si="1"/>
        <v>0</v>
      </c>
      <c r="L55" s="22">
        <f t="shared" si="2"/>
        <v>35</v>
      </c>
    </row>
    <row r="56" spans="1:13" x14ac:dyDescent="0.25">
      <c r="A56" s="4">
        <v>54</v>
      </c>
      <c r="B56" s="1" t="s">
        <v>31</v>
      </c>
      <c r="C56" s="1" t="s">
        <v>70</v>
      </c>
      <c r="D56" s="26">
        <v>42217</v>
      </c>
      <c r="E56" s="26">
        <v>42277</v>
      </c>
      <c r="F56" s="22"/>
      <c r="G56" s="22"/>
      <c r="H56" s="22"/>
      <c r="I56" s="22"/>
      <c r="J56" s="28">
        <f t="shared" si="0"/>
        <v>60</v>
      </c>
      <c r="K56" s="22">
        <f t="shared" si="1"/>
        <v>0</v>
      </c>
      <c r="L56" s="22">
        <f t="shared" si="2"/>
        <v>60</v>
      </c>
    </row>
    <row r="57" spans="1:13" x14ac:dyDescent="0.25">
      <c r="A57" s="4">
        <v>55</v>
      </c>
      <c r="B57" s="1" t="s">
        <v>32</v>
      </c>
      <c r="C57" s="1">
        <v>0</v>
      </c>
      <c r="D57" s="26">
        <v>42337</v>
      </c>
      <c r="E57" s="26">
        <v>42369</v>
      </c>
      <c r="F57" s="26"/>
      <c r="G57" s="26"/>
      <c r="H57" s="26"/>
      <c r="I57" s="26"/>
      <c r="J57" s="28">
        <f t="shared" si="0"/>
        <v>32</v>
      </c>
      <c r="K57" s="22">
        <f t="shared" si="1"/>
        <v>0</v>
      </c>
      <c r="L57" s="22">
        <f t="shared" si="2"/>
        <v>32</v>
      </c>
      <c r="M57" t="s">
        <v>207</v>
      </c>
    </row>
    <row r="58" spans="1:13" x14ac:dyDescent="0.25">
      <c r="A58" s="4">
        <v>56</v>
      </c>
      <c r="B58" s="1" t="s">
        <v>33</v>
      </c>
      <c r="C58" s="1"/>
      <c r="D58" s="26">
        <v>42132</v>
      </c>
      <c r="E58" s="26">
        <v>42229</v>
      </c>
      <c r="F58" s="22"/>
      <c r="G58" s="22"/>
      <c r="H58" s="22"/>
      <c r="I58" s="22"/>
      <c r="J58" s="28">
        <f t="shared" si="0"/>
        <v>97</v>
      </c>
      <c r="K58" s="22">
        <f t="shared" si="1"/>
        <v>0</v>
      </c>
      <c r="L58" s="22">
        <f t="shared" si="2"/>
        <v>97</v>
      </c>
    </row>
    <row r="59" spans="1:13" x14ac:dyDescent="0.25">
      <c r="A59" s="4">
        <v>57</v>
      </c>
      <c r="B59" s="1" t="s">
        <v>47</v>
      </c>
      <c r="C59" s="1"/>
      <c r="D59" s="26">
        <v>42042</v>
      </c>
      <c r="E59" s="26">
        <v>42100</v>
      </c>
      <c r="F59" s="22"/>
      <c r="G59" s="22"/>
      <c r="H59" s="22"/>
      <c r="I59" s="22"/>
      <c r="J59" s="28">
        <f t="shared" si="0"/>
        <v>58</v>
      </c>
      <c r="K59" s="22">
        <f t="shared" si="1"/>
        <v>0</v>
      </c>
      <c r="L59" s="22">
        <f t="shared" si="2"/>
        <v>58</v>
      </c>
    </row>
    <row r="60" spans="1:13" x14ac:dyDescent="0.25">
      <c r="A60" s="4">
        <v>58</v>
      </c>
      <c r="B60" s="2" t="s">
        <v>34</v>
      </c>
      <c r="C60" s="1"/>
      <c r="D60" s="26">
        <v>42120</v>
      </c>
      <c r="E60" s="26">
        <v>42131</v>
      </c>
      <c r="F60" s="22"/>
      <c r="G60" s="22"/>
      <c r="H60" s="22"/>
      <c r="I60" s="22"/>
      <c r="J60" s="28">
        <f t="shared" si="0"/>
        <v>11</v>
      </c>
      <c r="K60" s="22">
        <f t="shared" si="1"/>
        <v>0</v>
      </c>
      <c r="L60" s="22">
        <f t="shared" si="2"/>
        <v>11</v>
      </c>
    </row>
    <row r="61" spans="1:13" x14ac:dyDescent="0.25">
      <c r="A61" s="4">
        <v>59</v>
      </c>
      <c r="B61" s="1" t="s">
        <v>35</v>
      </c>
      <c r="C61" s="1"/>
      <c r="D61" s="26">
        <v>42120</v>
      </c>
      <c r="E61" s="26">
        <v>42155</v>
      </c>
      <c r="F61" s="22"/>
      <c r="G61" s="22"/>
      <c r="H61" s="22"/>
      <c r="I61" s="22"/>
      <c r="J61" s="28">
        <f t="shared" si="0"/>
        <v>35</v>
      </c>
      <c r="K61" s="22">
        <f t="shared" si="1"/>
        <v>0</v>
      </c>
      <c r="L61" s="22">
        <f t="shared" si="2"/>
        <v>35</v>
      </c>
    </row>
    <row r="62" spans="1:13" x14ac:dyDescent="0.25">
      <c r="A62" s="4">
        <v>60</v>
      </c>
      <c r="B62" s="5" t="s">
        <v>37</v>
      </c>
      <c r="C62" s="1"/>
      <c r="D62" s="26">
        <v>42133</v>
      </c>
      <c r="E62" s="26">
        <v>42203</v>
      </c>
      <c r="F62" s="22"/>
      <c r="G62" s="22"/>
      <c r="H62" s="22"/>
      <c r="I62" s="22"/>
      <c r="J62" s="28">
        <f t="shared" si="0"/>
        <v>70</v>
      </c>
      <c r="K62" s="22">
        <f t="shared" si="1"/>
        <v>0</v>
      </c>
      <c r="L62" s="22">
        <f t="shared" si="2"/>
        <v>70</v>
      </c>
    </row>
    <row r="63" spans="1:13" x14ac:dyDescent="0.25">
      <c r="A63" s="4">
        <v>61</v>
      </c>
      <c r="B63" s="5" t="s">
        <v>39</v>
      </c>
      <c r="C63" s="1" t="s">
        <v>70</v>
      </c>
      <c r="D63" s="26"/>
      <c r="E63" s="26"/>
      <c r="F63" s="22"/>
      <c r="G63" s="22"/>
      <c r="H63" s="22"/>
      <c r="I63" s="22"/>
      <c r="J63" s="28">
        <f t="shared" si="0"/>
        <v>0</v>
      </c>
      <c r="K63" s="22">
        <f t="shared" si="1"/>
        <v>0</v>
      </c>
      <c r="L63" s="22">
        <f t="shared" si="2"/>
        <v>0</v>
      </c>
    </row>
    <row r="64" spans="1:13" x14ac:dyDescent="0.25">
      <c r="A64" s="4">
        <v>62</v>
      </c>
      <c r="B64" s="5" t="s">
        <v>157</v>
      </c>
      <c r="C64" s="1">
        <v>0</v>
      </c>
      <c r="D64" s="26">
        <v>42322</v>
      </c>
      <c r="E64" s="26">
        <v>42369</v>
      </c>
      <c r="F64" s="22"/>
      <c r="G64" s="22"/>
      <c r="H64" s="22"/>
      <c r="I64" s="22"/>
      <c r="J64" s="28">
        <f t="shared" si="0"/>
        <v>47</v>
      </c>
      <c r="K64" s="22">
        <f t="shared" si="1"/>
        <v>0</v>
      </c>
      <c r="L64" s="22">
        <f t="shared" si="2"/>
        <v>47</v>
      </c>
      <c r="M64" t="s">
        <v>207</v>
      </c>
    </row>
    <row r="65" spans="1:13" x14ac:dyDescent="0.25">
      <c r="A65" s="4">
        <v>63</v>
      </c>
      <c r="B65" s="5" t="s">
        <v>158</v>
      </c>
      <c r="C65" s="1" t="s">
        <v>70</v>
      </c>
      <c r="D65" s="26"/>
      <c r="E65" s="26"/>
      <c r="F65" s="22"/>
      <c r="G65" s="22"/>
      <c r="H65" s="22"/>
      <c r="I65" s="22"/>
      <c r="J65" s="28">
        <f t="shared" si="0"/>
        <v>0</v>
      </c>
      <c r="K65" s="22">
        <f t="shared" si="1"/>
        <v>0</v>
      </c>
      <c r="L65" s="22">
        <f t="shared" si="2"/>
        <v>0</v>
      </c>
    </row>
    <row r="66" spans="1:13" x14ac:dyDescent="0.25">
      <c r="A66" s="4">
        <v>64</v>
      </c>
      <c r="B66" s="23" t="s">
        <v>40</v>
      </c>
      <c r="C66" s="1" t="s">
        <v>70</v>
      </c>
      <c r="D66" s="26"/>
      <c r="E66" s="26"/>
      <c r="F66" s="22"/>
      <c r="G66" s="22"/>
      <c r="H66" s="22"/>
      <c r="I66" s="22"/>
      <c r="J66" s="28">
        <f t="shared" si="0"/>
        <v>0</v>
      </c>
      <c r="K66" s="22">
        <f t="shared" si="1"/>
        <v>0</v>
      </c>
      <c r="L66" s="22">
        <f t="shared" si="2"/>
        <v>0</v>
      </c>
      <c r="M66" s="37"/>
    </row>
    <row r="67" spans="1:13" x14ac:dyDescent="0.25">
      <c r="A67" s="4">
        <v>65</v>
      </c>
      <c r="B67" s="5" t="s">
        <v>202</v>
      </c>
      <c r="C67" s="45">
        <v>42036</v>
      </c>
      <c r="D67" s="26"/>
      <c r="E67" s="26"/>
      <c r="F67" s="22"/>
      <c r="G67" s="22"/>
      <c r="H67" s="22"/>
      <c r="I67" s="22"/>
      <c r="J67" s="28">
        <f t="shared" ref="J67:J85" si="3">E67-D67</f>
        <v>0</v>
      </c>
      <c r="K67" s="22">
        <f t="shared" ref="K67:K85" si="4">G67-F67</f>
        <v>0</v>
      </c>
      <c r="L67" s="22">
        <f t="shared" ref="L67:L85" si="5">J67+K67</f>
        <v>0</v>
      </c>
      <c r="M67" s="37"/>
    </row>
    <row r="68" spans="1:13" x14ac:dyDescent="0.25">
      <c r="A68" s="4">
        <v>66</v>
      </c>
      <c r="B68" s="12" t="s">
        <v>184</v>
      </c>
      <c r="C68" s="1" t="s">
        <v>70</v>
      </c>
      <c r="D68" s="26"/>
      <c r="E68" s="26"/>
      <c r="F68" s="22"/>
      <c r="G68" s="22"/>
      <c r="H68" s="22"/>
      <c r="I68" s="22"/>
      <c r="J68" s="28">
        <f t="shared" si="3"/>
        <v>0</v>
      </c>
      <c r="K68" s="22">
        <f t="shared" si="4"/>
        <v>0</v>
      </c>
      <c r="L68" s="22">
        <f t="shared" si="5"/>
        <v>0</v>
      </c>
      <c r="M68" s="37"/>
    </row>
    <row r="69" spans="1:13" x14ac:dyDescent="0.25">
      <c r="A69" s="4">
        <v>67</v>
      </c>
      <c r="B69" s="12" t="s">
        <v>185</v>
      </c>
      <c r="C69" s="1" t="s">
        <v>70</v>
      </c>
      <c r="D69" s="26"/>
      <c r="E69" s="26"/>
      <c r="F69" s="22"/>
      <c r="G69" s="22"/>
      <c r="H69" s="22"/>
      <c r="I69" s="22"/>
      <c r="J69" s="28">
        <f t="shared" si="3"/>
        <v>0</v>
      </c>
      <c r="K69" s="22">
        <f t="shared" si="4"/>
        <v>0</v>
      </c>
      <c r="L69" s="22">
        <f t="shared" si="5"/>
        <v>0</v>
      </c>
      <c r="M69" s="37"/>
    </row>
    <row r="70" spans="1:13" x14ac:dyDescent="0.25">
      <c r="A70" s="4">
        <v>68</v>
      </c>
      <c r="B70" s="1" t="s">
        <v>43</v>
      </c>
      <c r="C70" s="1"/>
      <c r="D70" s="26">
        <v>42005</v>
      </c>
      <c r="E70" s="26">
        <v>42035</v>
      </c>
      <c r="F70" s="22"/>
      <c r="G70" s="22"/>
      <c r="H70" s="22"/>
      <c r="I70" s="22"/>
      <c r="J70" s="28">
        <f t="shared" si="3"/>
        <v>30</v>
      </c>
      <c r="K70" s="22">
        <f t="shared" si="4"/>
        <v>0</v>
      </c>
      <c r="L70" s="22">
        <f t="shared" si="5"/>
        <v>30</v>
      </c>
    </row>
    <row r="71" spans="1:13" x14ac:dyDescent="0.25">
      <c r="A71" s="4">
        <v>69</v>
      </c>
      <c r="B71" s="1" t="s">
        <v>44</v>
      </c>
      <c r="C71" s="1" t="s">
        <v>70</v>
      </c>
      <c r="D71" s="26"/>
      <c r="E71" s="26"/>
      <c r="F71" s="22"/>
      <c r="G71" s="22"/>
      <c r="H71" s="22"/>
      <c r="I71" s="22"/>
      <c r="J71" s="28">
        <f t="shared" si="3"/>
        <v>0</v>
      </c>
      <c r="K71" s="22">
        <f t="shared" si="4"/>
        <v>0</v>
      </c>
      <c r="L71" s="22">
        <f t="shared" si="5"/>
        <v>0</v>
      </c>
    </row>
    <row r="72" spans="1:13" x14ac:dyDescent="0.25">
      <c r="A72" s="4">
        <v>70</v>
      </c>
      <c r="B72" s="1" t="s">
        <v>45</v>
      </c>
      <c r="C72" s="1"/>
      <c r="D72" s="26">
        <v>42098</v>
      </c>
      <c r="E72" s="26">
        <v>42211</v>
      </c>
      <c r="F72" s="22"/>
      <c r="G72" s="22"/>
      <c r="H72" s="22"/>
      <c r="I72" s="22"/>
      <c r="J72" s="28">
        <f t="shared" si="3"/>
        <v>113</v>
      </c>
      <c r="K72" s="22">
        <f t="shared" si="4"/>
        <v>0</v>
      </c>
      <c r="L72" s="22">
        <f t="shared" si="5"/>
        <v>113</v>
      </c>
    </row>
    <row r="73" spans="1:13" x14ac:dyDescent="0.25">
      <c r="A73" s="4">
        <v>71</v>
      </c>
      <c r="B73" s="1" t="s">
        <v>46</v>
      </c>
      <c r="C73" s="1" t="s">
        <v>70</v>
      </c>
      <c r="D73" s="26"/>
      <c r="E73" s="22"/>
      <c r="F73" s="22"/>
      <c r="G73" s="22"/>
      <c r="H73" s="22"/>
      <c r="I73" s="22"/>
      <c r="J73" s="28">
        <f t="shared" si="3"/>
        <v>0</v>
      </c>
      <c r="K73" s="22">
        <f t="shared" si="4"/>
        <v>0</v>
      </c>
      <c r="L73" s="22">
        <f t="shared" si="5"/>
        <v>0</v>
      </c>
    </row>
    <row r="74" spans="1:13" x14ac:dyDescent="0.25">
      <c r="A74" s="4">
        <v>72</v>
      </c>
      <c r="B74" s="1" t="s">
        <v>48</v>
      </c>
      <c r="C74" s="1" t="s">
        <v>70</v>
      </c>
      <c r="D74" s="26">
        <v>42339</v>
      </c>
      <c r="E74" s="26">
        <v>42369</v>
      </c>
      <c r="F74" s="22"/>
      <c r="G74" s="22"/>
      <c r="H74" s="22"/>
      <c r="I74" s="22"/>
      <c r="J74" s="28">
        <f t="shared" si="3"/>
        <v>30</v>
      </c>
      <c r="K74" s="22">
        <f t="shared" si="4"/>
        <v>0</v>
      </c>
      <c r="L74" s="22">
        <f t="shared" si="5"/>
        <v>30</v>
      </c>
      <c r="M74" t="s">
        <v>207</v>
      </c>
    </row>
    <row r="75" spans="1:13" x14ac:dyDescent="0.25">
      <c r="A75" s="4">
        <v>73</v>
      </c>
      <c r="B75" s="1" t="s">
        <v>49</v>
      </c>
      <c r="C75" s="1"/>
      <c r="D75" s="26">
        <v>42154</v>
      </c>
      <c r="E75" s="26">
        <v>42252</v>
      </c>
      <c r="F75" s="22"/>
      <c r="G75" s="22"/>
      <c r="H75" s="22"/>
      <c r="I75" s="22"/>
      <c r="J75" s="28">
        <f t="shared" si="3"/>
        <v>98</v>
      </c>
      <c r="K75" s="22">
        <f t="shared" si="4"/>
        <v>0</v>
      </c>
      <c r="L75" s="22">
        <f t="shared" si="5"/>
        <v>98</v>
      </c>
    </row>
    <row r="76" spans="1:13" x14ac:dyDescent="0.25">
      <c r="A76" s="4">
        <v>74</v>
      </c>
      <c r="B76" s="1" t="s">
        <v>51</v>
      </c>
      <c r="C76" s="1" t="s">
        <v>70</v>
      </c>
      <c r="D76" s="26">
        <v>42278</v>
      </c>
      <c r="E76" s="26">
        <v>42299</v>
      </c>
      <c r="F76" s="22"/>
      <c r="G76" s="22"/>
      <c r="H76" s="22"/>
      <c r="I76" s="22"/>
      <c r="J76" s="28">
        <f t="shared" si="3"/>
        <v>21</v>
      </c>
      <c r="K76" s="22">
        <f t="shared" si="4"/>
        <v>0</v>
      </c>
      <c r="L76" s="22">
        <f t="shared" si="5"/>
        <v>21</v>
      </c>
    </row>
    <row r="77" spans="1:13" x14ac:dyDescent="0.25">
      <c r="A77" s="4">
        <v>75</v>
      </c>
      <c r="B77" s="6" t="s">
        <v>52</v>
      </c>
      <c r="C77" s="1" t="s">
        <v>70</v>
      </c>
      <c r="D77" s="26"/>
      <c r="E77" s="26"/>
      <c r="F77" s="22"/>
      <c r="G77" s="22"/>
      <c r="H77" s="22"/>
      <c r="I77" s="22"/>
      <c r="J77" s="28">
        <f t="shared" si="3"/>
        <v>0</v>
      </c>
      <c r="K77" s="22">
        <f t="shared" si="4"/>
        <v>0</v>
      </c>
      <c r="L77" s="22">
        <f t="shared" si="5"/>
        <v>0</v>
      </c>
    </row>
    <row r="78" spans="1:13" x14ac:dyDescent="0.25">
      <c r="A78" s="4">
        <v>76</v>
      </c>
      <c r="B78" s="6" t="s">
        <v>53</v>
      </c>
      <c r="C78" s="1" t="s">
        <v>70</v>
      </c>
      <c r="D78" s="26">
        <v>42067</v>
      </c>
      <c r="E78" s="26">
        <v>42143</v>
      </c>
      <c r="F78" s="22"/>
      <c r="G78" s="22"/>
      <c r="H78" s="22"/>
      <c r="I78" s="22"/>
      <c r="J78" s="28">
        <f t="shared" si="3"/>
        <v>76</v>
      </c>
      <c r="K78" s="22">
        <f t="shared" si="4"/>
        <v>0</v>
      </c>
      <c r="L78" s="22">
        <f t="shared" si="5"/>
        <v>76</v>
      </c>
    </row>
    <row r="79" spans="1:13" x14ac:dyDescent="0.25">
      <c r="A79" s="4">
        <v>77</v>
      </c>
      <c r="B79" s="6" t="s">
        <v>54</v>
      </c>
      <c r="C79" s="1" t="s">
        <v>70</v>
      </c>
      <c r="D79" s="26"/>
      <c r="E79" s="22"/>
      <c r="F79" s="22"/>
      <c r="G79" s="22"/>
      <c r="H79" s="22"/>
      <c r="I79" s="22"/>
      <c r="J79" s="28">
        <f t="shared" si="3"/>
        <v>0</v>
      </c>
      <c r="K79" s="22">
        <f t="shared" si="4"/>
        <v>0</v>
      </c>
      <c r="L79" s="22">
        <f t="shared" si="5"/>
        <v>0</v>
      </c>
    </row>
    <row r="80" spans="1:13" x14ac:dyDescent="0.25">
      <c r="A80" s="4">
        <v>78</v>
      </c>
      <c r="B80" s="6" t="s">
        <v>55</v>
      </c>
      <c r="C80" s="1" t="s">
        <v>70</v>
      </c>
      <c r="D80" s="26"/>
      <c r="E80" s="22"/>
      <c r="F80" s="22"/>
      <c r="G80" s="22"/>
      <c r="H80" s="22"/>
      <c r="I80" s="22"/>
      <c r="J80" s="28">
        <f t="shared" si="3"/>
        <v>0</v>
      </c>
      <c r="K80" s="22">
        <f t="shared" si="4"/>
        <v>0</v>
      </c>
      <c r="L80" s="22">
        <f t="shared" si="5"/>
        <v>0</v>
      </c>
    </row>
    <row r="81" spans="1:12" x14ac:dyDescent="0.25">
      <c r="A81" s="4">
        <v>79</v>
      </c>
      <c r="B81" s="38" t="s">
        <v>186</v>
      </c>
      <c r="C81" s="1" t="s">
        <v>70</v>
      </c>
      <c r="D81" s="22"/>
      <c r="E81" s="22"/>
      <c r="F81" s="22"/>
      <c r="G81" s="22"/>
      <c r="H81" s="22"/>
      <c r="I81" s="22"/>
      <c r="J81" s="28">
        <f t="shared" si="3"/>
        <v>0</v>
      </c>
      <c r="K81" s="22">
        <f t="shared" si="4"/>
        <v>0</v>
      </c>
      <c r="L81" s="22">
        <f t="shared" si="5"/>
        <v>0</v>
      </c>
    </row>
    <row r="82" spans="1:12" x14ac:dyDescent="0.25">
      <c r="A82" s="4">
        <v>80</v>
      </c>
      <c r="B82" s="40" t="s">
        <v>187</v>
      </c>
      <c r="C82" s="1" t="s">
        <v>70</v>
      </c>
      <c r="D82" s="22"/>
      <c r="E82" s="22"/>
      <c r="F82" s="22"/>
      <c r="G82" s="22"/>
      <c r="H82" s="22"/>
      <c r="I82" s="22"/>
      <c r="J82" s="28">
        <f t="shared" si="3"/>
        <v>0</v>
      </c>
      <c r="K82" s="22">
        <f t="shared" si="4"/>
        <v>0</v>
      </c>
      <c r="L82" s="22">
        <f t="shared" si="5"/>
        <v>0</v>
      </c>
    </row>
    <row r="83" spans="1:12" x14ac:dyDescent="0.25">
      <c r="A83" s="4">
        <v>81</v>
      </c>
      <c r="B83" s="40" t="s">
        <v>188</v>
      </c>
      <c r="C83" s="1" t="s">
        <v>70</v>
      </c>
      <c r="D83" s="22"/>
      <c r="E83" s="22"/>
      <c r="F83" s="22"/>
      <c r="G83" s="22"/>
      <c r="H83" s="22"/>
      <c r="I83" s="22"/>
      <c r="J83" s="28">
        <f t="shared" si="3"/>
        <v>0</v>
      </c>
      <c r="K83" s="22">
        <f t="shared" si="4"/>
        <v>0</v>
      </c>
      <c r="L83" s="22">
        <f t="shared" si="5"/>
        <v>0</v>
      </c>
    </row>
    <row r="84" spans="1:12" x14ac:dyDescent="0.25">
      <c r="A84" s="4">
        <v>82</v>
      </c>
      <c r="B84" s="6" t="s">
        <v>203</v>
      </c>
      <c r="C84" s="46">
        <v>42156</v>
      </c>
      <c r="J84" s="28">
        <f t="shared" si="3"/>
        <v>0</v>
      </c>
      <c r="K84" s="22">
        <f t="shared" si="4"/>
        <v>0</v>
      </c>
      <c r="L84" s="22">
        <f t="shared" si="5"/>
        <v>0</v>
      </c>
    </row>
    <row r="85" spans="1:12" x14ac:dyDescent="0.25">
      <c r="A85" s="4">
        <v>83</v>
      </c>
      <c r="B85" s="6" t="s">
        <v>204</v>
      </c>
      <c r="C85" s="46">
        <v>42156</v>
      </c>
      <c r="J85" s="28">
        <f t="shared" si="3"/>
        <v>0</v>
      </c>
      <c r="K85" s="22">
        <f t="shared" si="4"/>
        <v>0</v>
      </c>
      <c r="L85" s="22">
        <f t="shared" si="5"/>
        <v>0</v>
      </c>
    </row>
    <row r="88" spans="1:12" x14ac:dyDescent="0.25">
      <c r="A88" s="4">
        <v>1</v>
      </c>
      <c r="B88" s="6" t="s">
        <v>0</v>
      </c>
      <c r="C88" s="6"/>
      <c r="D88" s="26" t="s">
        <v>70</v>
      </c>
      <c r="E88" s="26"/>
      <c r="F88" s="22"/>
      <c r="G88" s="22"/>
      <c r="H88" s="22"/>
      <c r="I88" s="22"/>
      <c r="J88" s="28">
        <v>0</v>
      </c>
      <c r="K88" s="22"/>
      <c r="L88" s="22">
        <f t="shared" ref="L88:L94" si="6">J88+K88</f>
        <v>0</v>
      </c>
    </row>
    <row r="89" spans="1:12" x14ac:dyDescent="0.25">
      <c r="A89" s="4">
        <v>29</v>
      </c>
      <c r="B89" s="6" t="s">
        <v>143</v>
      </c>
      <c r="C89" s="6"/>
      <c r="D89" s="26" t="s">
        <v>70</v>
      </c>
      <c r="E89" s="22"/>
      <c r="F89" s="22"/>
      <c r="G89" s="22"/>
      <c r="H89" s="22"/>
      <c r="I89" s="22"/>
      <c r="J89" s="28">
        <v>0</v>
      </c>
      <c r="K89" s="22"/>
      <c r="L89" s="22">
        <f t="shared" si="6"/>
        <v>0</v>
      </c>
    </row>
    <row r="90" spans="1:12" x14ac:dyDescent="0.25">
      <c r="A90" s="4">
        <v>30</v>
      </c>
      <c r="B90" s="6" t="s">
        <v>144</v>
      </c>
      <c r="C90" s="6"/>
      <c r="D90" s="26" t="s">
        <v>70</v>
      </c>
      <c r="E90" s="22"/>
      <c r="F90" s="22"/>
      <c r="G90" s="22"/>
      <c r="H90" s="22"/>
      <c r="I90" s="22"/>
      <c r="J90" s="28">
        <v>0</v>
      </c>
      <c r="K90" s="22"/>
      <c r="L90" s="22">
        <f t="shared" si="6"/>
        <v>0</v>
      </c>
    </row>
    <row r="91" spans="1:12" x14ac:dyDescent="0.25">
      <c r="A91" s="4">
        <v>27</v>
      </c>
      <c r="B91" s="6" t="s">
        <v>139</v>
      </c>
      <c r="C91" s="6" t="s">
        <v>191</v>
      </c>
      <c r="D91" s="26"/>
      <c r="E91" s="26"/>
      <c r="F91" s="22"/>
      <c r="G91" s="22"/>
      <c r="H91" s="22"/>
      <c r="I91" s="22"/>
      <c r="J91" s="28">
        <f>E91-D91</f>
        <v>0</v>
      </c>
      <c r="K91" s="22"/>
      <c r="L91" s="22">
        <f t="shared" si="6"/>
        <v>0</v>
      </c>
    </row>
    <row r="92" spans="1:12" x14ac:dyDescent="0.25">
      <c r="A92" s="4">
        <v>28</v>
      </c>
      <c r="B92" s="6" t="s">
        <v>140</v>
      </c>
      <c r="C92" s="6" t="s">
        <v>191</v>
      </c>
      <c r="D92" s="26"/>
      <c r="E92" s="26"/>
      <c r="F92" s="22"/>
      <c r="G92" s="22"/>
      <c r="H92" s="22"/>
      <c r="I92" s="22"/>
      <c r="J92" s="28">
        <f>E92-D92</f>
        <v>0</v>
      </c>
      <c r="K92" s="22"/>
      <c r="L92" s="22">
        <f t="shared" si="6"/>
        <v>0</v>
      </c>
    </row>
    <row r="93" spans="1:12" x14ac:dyDescent="0.25">
      <c r="A93" s="4">
        <v>29</v>
      </c>
      <c r="B93" s="6" t="s">
        <v>142</v>
      </c>
      <c r="C93" s="6" t="s">
        <v>191</v>
      </c>
      <c r="D93" s="26"/>
      <c r="E93" s="22"/>
      <c r="F93" s="22"/>
      <c r="G93" s="22"/>
      <c r="H93" s="22"/>
      <c r="I93" s="22"/>
      <c r="J93" s="28">
        <v>0</v>
      </c>
      <c r="K93" s="22"/>
      <c r="L93" s="22">
        <f t="shared" si="6"/>
        <v>0</v>
      </c>
    </row>
    <row r="94" spans="1:12" x14ac:dyDescent="0.25">
      <c r="A94" s="4">
        <v>30</v>
      </c>
      <c r="B94" s="6" t="s">
        <v>150</v>
      </c>
      <c r="C94" s="6"/>
      <c r="D94" s="26"/>
      <c r="E94" s="22"/>
      <c r="F94" s="22"/>
      <c r="G94" s="22"/>
      <c r="H94" s="22"/>
      <c r="I94" s="22"/>
      <c r="J94" s="28">
        <v>0</v>
      </c>
      <c r="K94" s="22"/>
      <c r="L94" s="22">
        <f t="shared" si="6"/>
        <v>0</v>
      </c>
    </row>
  </sheetData>
  <mergeCells count="2">
    <mergeCell ref="D1:E1"/>
    <mergeCell ref="F1:G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88"/>
  <sheetViews>
    <sheetView topLeftCell="A33" workbookViewId="0">
      <selection activeCell="B48" sqref="B48"/>
    </sheetView>
  </sheetViews>
  <sheetFormatPr defaultRowHeight="15" x14ac:dyDescent="0.25"/>
  <cols>
    <col min="2" max="2" width="35.42578125" style="24" bestFit="1" customWidth="1"/>
    <col min="3" max="3" width="16.7109375" bestFit="1" customWidth="1"/>
    <col min="4" max="6" width="10.7109375" bestFit="1" customWidth="1"/>
  </cols>
  <sheetData>
    <row r="1" spans="1:10" x14ac:dyDescent="0.25">
      <c r="A1" s="17" t="s">
        <v>125</v>
      </c>
      <c r="B1" s="25" t="s">
        <v>126</v>
      </c>
      <c r="C1" s="152" t="s">
        <v>134</v>
      </c>
      <c r="D1" s="152"/>
      <c r="E1" s="152" t="s">
        <v>128</v>
      </c>
      <c r="F1" s="152"/>
      <c r="G1" t="s">
        <v>129</v>
      </c>
      <c r="H1" t="s">
        <v>129</v>
      </c>
      <c r="I1" t="s">
        <v>72</v>
      </c>
    </row>
    <row r="2" spans="1:10" x14ac:dyDescent="0.25">
      <c r="A2" s="4">
        <v>1</v>
      </c>
      <c r="B2" s="6" t="s">
        <v>169</v>
      </c>
      <c r="C2" s="26">
        <v>41686</v>
      </c>
      <c r="D2" s="26">
        <v>41702</v>
      </c>
      <c r="E2" s="26">
        <v>41930</v>
      </c>
      <c r="F2" s="26">
        <v>41953</v>
      </c>
      <c r="G2" s="22">
        <f>D2-C2</f>
        <v>16</v>
      </c>
      <c r="H2" s="22">
        <f>F2-E2</f>
        <v>23</v>
      </c>
      <c r="I2" s="22">
        <f t="shared" ref="I2:I71" si="0">G2+H2</f>
        <v>39</v>
      </c>
    </row>
    <row r="3" spans="1:10" x14ac:dyDescent="0.25">
      <c r="A3" s="4">
        <v>2</v>
      </c>
      <c r="B3" s="6" t="s">
        <v>1</v>
      </c>
      <c r="C3" s="26">
        <v>41721</v>
      </c>
      <c r="D3" s="26">
        <v>41734</v>
      </c>
      <c r="E3" s="26">
        <v>41770</v>
      </c>
      <c r="F3" s="26">
        <v>41783</v>
      </c>
      <c r="G3" s="22">
        <f>D3-C3</f>
        <v>13</v>
      </c>
      <c r="H3" s="22">
        <f>F3-E3</f>
        <v>13</v>
      </c>
      <c r="I3" s="22">
        <f t="shared" si="0"/>
        <v>26</v>
      </c>
    </row>
    <row r="4" spans="1:10" x14ac:dyDescent="0.25">
      <c r="A4" s="4">
        <v>3</v>
      </c>
      <c r="B4" s="38" t="s">
        <v>179</v>
      </c>
      <c r="C4" s="26"/>
      <c r="D4" s="26"/>
      <c r="E4" s="26"/>
      <c r="F4" s="26"/>
      <c r="G4" s="22"/>
      <c r="H4" s="22"/>
      <c r="I4" s="22"/>
    </row>
    <row r="5" spans="1:10" x14ac:dyDescent="0.25">
      <c r="A5" s="4">
        <v>4</v>
      </c>
      <c r="B5" s="11" t="s">
        <v>180</v>
      </c>
      <c r="C5" s="26"/>
      <c r="D5" s="26"/>
      <c r="E5" s="26"/>
      <c r="F5" s="26"/>
      <c r="G5" s="22"/>
      <c r="H5" s="22"/>
      <c r="I5" s="22"/>
    </row>
    <row r="6" spans="1:10" x14ac:dyDescent="0.25">
      <c r="A6" s="4">
        <v>5</v>
      </c>
      <c r="B6" s="5" t="s">
        <v>3</v>
      </c>
      <c r="C6" s="26">
        <v>41699</v>
      </c>
      <c r="D6" s="26">
        <v>41706</v>
      </c>
      <c r="E6" s="26">
        <v>42000</v>
      </c>
      <c r="F6" s="26">
        <v>42004</v>
      </c>
      <c r="G6" s="22">
        <f>D6-C6</f>
        <v>7</v>
      </c>
      <c r="H6" s="22">
        <f>F6-E6</f>
        <v>4</v>
      </c>
      <c r="I6" s="22">
        <f t="shared" si="0"/>
        <v>11</v>
      </c>
      <c r="J6" t="s">
        <v>189</v>
      </c>
    </row>
    <row r="7" spans="1:10" x14ac:dyDescent="0.25">
      <c r="A7" s="4">
        <v>6</v>
      </c>
      <c r="B7" s="6" t="s">
        <v>5</v>
      </c>
      <c r="C7" s="26" t="s">
        <v>70</v>
      </c>
      <c r="D7" s="26"/>
      <c r="E7" s="22"/>
      <c r="F7" s="22"/>
      <c r="G7" s="22">
        <v>0</v>
      </c>
      <c r="H7" s="22"/>
      <c r="I7" s="22">
        <f t="shared" si="0"/>
        <v>0</v>
      </c>
    </row>
    <row r="8" spans="1:10" x14ac:dyDescent="0.25">
      <c r="A8" s="4">
        <v>7</v>
      </c>
      <c r="B8" s="6" t="s">
        <v>168</v>
      </c>
      <c r="C8" s="26">
        <v>41888</v>
      </c>
      <c r="D8" s="26">
        <v>41905</v>
      </c>
      <c r="E8" s="22"/>
      <c r="F8" s="22"/>
      <c r="G8" s="22">
        <f t="shared" ref="G8:G17" si="1">D8-C8</f>
        <v>17</v>
      </c>
      <c r="H8" s="22"/>
      <c r="I8" s="22">
        <f t="shared" si="0"/>
        <v>17</v>
      </c>
    </row>
    <row r="9" spans="1:10" x14ac:dyDescent="0.25">
      <c r="A9" s="4">
        <v>8</v>
      </c>
      <c r="B9" s="2" t="s">
        <v>6</v>
      </c>
      <c r="C9" s="26">
        <v>41721</v>
      </c>
      <c r="D9" s="26">
        <v>41726</v>
      </c>
      <c r="E9" s="22"/>
      <c r="F9" s="22"/>
      <c r="G9" s="22">
        <f t="shared" si="1"/>
        <v>5</v>
      </c>
      <c r="H9" s="22"/>
      <c r="I9" s="22">
        <f t="shared" si="0"/>
        <v>5</v>
      </c>
    </row>
    <row r="10" spans="1:10" x14ac:dyDescent="0.25">
      <c r="A10" s="4">
        <v>9</v>
      </c>
      <c r="B10" s="11" t="s">
        <v>181</v>
      </c>
      <c r="C10" s="26"/>
      <c r="D10" s="26"/>
      <c r="E10" s="22"/>
      <c r="F10" s="22"/>
      <c r="G10" s="22"/>
      <c r="H10" s="22"/>
      <c r="I10" s="22"/>
    </row>
    <row r="11" spans="1:10" x14ac:dyDescent="0.25">
      <c r="A11" s="4">
        <v>10</v>
      </c>
      <c r="B11" s="5" t="s">
        <v>9</v>
      </c>
      <c r="C11" s="26">
        <v>41852</v>
      </c>
      <c r="D11" s="26">
        <v>41922</v>
      </c>
      <c r="E11" s="22"/>
      <c r="F11" s="22"/>
      <c r="G11" s="22">
        <f t="shared" si="1"/>
        <v>70</v>
      </c>
      <c r="H11" s="22"/>
      <c r="I11" s="22">
        <f t="shared" si="0"/>
        <v>70</v>
      </c>
      <c r="J11" s="37"/>
    </row>
    <row r="12" spans="1:10" x14ac:dyDescent="0.25">
      <c r="A12" s="4">
        <v>11</v>
      </c>
      <c r="B12" s="7" t="s">
        <v>10</v>
      </c>
      <c r="C12" s="26">
        <v>41640</v>
      </c>
      <c r="D12" s="26">
        <v>41646</v>
      </c>
      <c r="E12" s="26">
        <v>41941</v>
      </c>
      <c r="F12" s="26">
        <v>41946</v>
      </c>
      <c r="G12" s="22">
        <f t="shared" si="1"/>
        <v>6</v>
      </c>
      <c r="H12" s="22">
        <f>F12-E12</f>
        <v>5</v>
      </c>
      <c r="I12" s="22">
        <f t="shared" si="0"/>
        <v>11</v>
      </c>
    </row>
    <row r="13" spans="1:10" x14ac:dyDescent="0.25">
      <c r="A13" s="4">
        <v>12</v>
      </c>
      <c r="B13" s="6" t="s">
        <v>11</v>
      </c>
      <c r="C13" s="26">
        <v>41799</v>
      </c>
      <c r="D13" s="26">
        <v>41813</v>
      </c>
      <c r="E13" s="22"/>
      <c r="F13" s="22"/>
      <c r="G13" s="22">
        <f t="shared" si="1"/>
        <v>14</v>
      </c>
      <c r="H13" s="22"/>
      <c r="I13" s="22">
        <f t="shared" si="0"/>
        <v>14</v>
      </c>
    </row>
    <row r="14" spans="1:10" x14ac:dyDescent="0.25">
      <c r="A14" s="4">
        <v>13</v>
      </c>
      <c r="B14" s="1" t="s">
        <v>12</v>
      </c>
      <c r="C14" s="26">
        <v>41822</v>
      </c>
      <c r="D14" s="26">
        <v>41843</v>
      </c>
      <c r="E14" s="26">
        <v>41973</v>
      </c>
      <c r="F14" s="26">
        <v>41986</v>
      </c>
      <c r="G14" s="22">
        <f t="shared" si="1"/>
        <v>21</v>
      </c>
      <c r="H14" s="22">
        <f>F14-E14</f>
        <v>13</v>
      </c>
      <c r="I14" s="22">
        <f t="shared" si="0"/>
        <v>34</v>
      </c>
    </row>
    <row r="15" spans="1:10" x14ac:dyDescent="0.25">
      <c r="A15" s="4">
        <v>14</v>
      </c>
      <c r="B15" s="1" t="s">
        <v>13</v>
      </c>
      <c r="C15" s="26">
        <v>41856</v>
      </c>
      <c r="D15" s="26">
        <v>41898</v>
      </c>
      <c r="E15" s="22"/>
      <c r="F15" s="22"/>
      <c r="G15" s="22">
        <f t="shared" si="1"/>
        <v>42</v>
      </c>
      <c r="H15" s="22"/>
      <c r="I15" s="22">
        <f t="shared" si="0"/>
        <v>42</v>
      </c>
    </row>
    <row r="16" spans="1:10" x14ac:dyDescent="0.25">
      <c r="A16" s="4">
        <v>15</v>
      </c>
      <c r="B16" s="1" t="s">
        <v>145</v>
      </c>
      <c r="C16" s="26" t="s">
        <v>70</v>
      </c>
      <c r="D16" s="26"/>
      <c r="E16" s="22"/>
      <c r="F16" s="22"/>
      <c r="G16" s="22">
        <v>0</v>
      </c>
      <c r="H16" s="22"/>
      <c r="I16" s="22">
        <f t="shared" si="0"/>
        <v>0</v>
      </c>
    </row>
    <row r="17" spans="1:10" x14ac:dyDescent="0.25">
      <c r="A17" s="4">
        <v>16</v>
      </c>
      <c r="B17" s="5" t="s">
        <v>16</v>
      </c>
      <c r="C17" s="26">
        <v>41906</v>
      </c>
      <c r="D17" s="26">
        <v>41946</v>
      </c>
      <c r="G17" s="22">
        <f t="shared" si="1"/>
        <v>40</v>
      </c>
      <c r="H17" s="22"/>
      <c r="I17" s="22">
        <f t="shared" si="0"/>
        <v>40</v>
      </c>
    </row>
    <row r="18" spans="1:10" x14ac:dyDescent="0.25">
      <c r="A18" s="4">
        <v>17</v>
      </c>
      <c r="B18" s="5" t="s">
        <v>19</v>
      </c>
      <c r="C18" s="26">
        <v>41640</v>
      </c>
      <c r="D18" s="26">
        <v>41641</v>
      </c>
      <c r="E18" s="22"/>
      <c r="F18" s="22"/>
      <c r="G18" s="22">
        <f t="shared" ref="G18:G25" si="2">D18-C18</f>
        <v>1</v>
      </c>
      <c r="H18" s="22"/>
      <c r="I18" s="22">
        <f t="shared" si="0"/>
        <v>1</v>
      </c>
    </row>
    <row r="19" spans="1:10" x14ac:dyDescent="0.25">
      <c r="A19" s="4">
        <v>18</v>
      </c>
      <c r="B19" s="6" t="s">
        <v>21</v>
      </c>
      <c r="C19" s="26">
        <v>41768</v>
      </c>
      <c r="D19" s="26">
        <v>41791</v>
      </c>
      <c r="E19" s="22"/>
      <c r="F19" s="22"/>
      <c r="G19" s="22">
        <f t="shared" si="2"/>
        <v>23</v>
      </c>
      <c r="H19" s="22"/>
      <c r="I19" s="22">
        <f t="shared" si="0"/>
        <v>23</v>
      </c>
    </row>
    <row r="20" spans="1:10" x14ac:dyDescent="0.25">
      <c r="A20" s="4">
        <v>19</v>
      </c>
      <c r="B20" s="6" t="s">
        <v>22</v>
      </c>
      <c r="C20" s="26">
        <v>41987</v>
      </c>
      <c r="D20" s="26">
        <v>42004</v>
      </c>
      <c r="E20" s="22"/>
      <c r="F20" s="22"/>
      <c r="G20" s="22">
        <f t="shared" si="2"/>
        <v>17</v>
      </c>
      <c r="H20" s="22"/>
      <c r="I20" s="22">
        <f t="shared" si="0"/>
        <v>17</v>
      </c>
    </row>
    <row r="21" spans="1:10" x14ac:dyDescent="0.25">
      <c r="A21" s="4">
        <v>20</v>
      </c>
      <c r="B21" s="6" t="s">
        <v>25</v>
      </c>
      <c r="C21" s="26">
        <v>41699</v>
      </c>
      <c r="D21" s="26">
        <v>41766</v>
      </c>
      <c r="E21" s="22"/>
      <c r="F21" s="22"/>
      <c r="G21" s="22">
        <f t="shared" si="2"/>
        <v>67</v>
      </c>
      <c r="H21" s="22"/>
      <c r="I21" s="22">
        <f t="shared" si="0"/>
        <v>67</v>
      </c>
    </row>
    <row r="22" spans="1:10" x14ac:dyDescent="0.25">
      <c r="A22" s="4">
        <v>21</v>
      </c>
      <c r="B22" s="6" t="s">
        <v>26</v>
      </c>
      <c r="C22" s="26">
        <v>41803</v>
      </c>
      <c r="D22" s="26">
        <v>41851</v>
      </c>
      <c r="E22" s="22"/>
      <c r="F22" s="22"/>
      <c r="G22" s="22">
        <f t="shared" si="2"/>
        <v>48</v>
      </c>
      <c r="H22" s="22"/>
      <c r="I22" s="22">
        <f t="shared" si="0"/>
        <v>48</v>
      </c>
    </row>
    <row r="23" spans="1:10" x14ac:dyDescent="0.25">
      <c r="A23" s="4">
        <v>22</v>
      </c>
      <c r="B23" s="6" t="s">
        <v>27</v>
      </c>
      <c r="C23" s="26">
        <v>41798</v>
      </c>
      <c r="D23" s="26">
        <v>41851</v>
      </c>
      <c r="E23" s="22"/>
      <c r="F23" s="22"/>
      <c r="G23" s="22">
        <f t="shared" si="2"/>
        <v>53</v>
      </c>
      <c r="H23" s="22"/>
      <c r="I23" s="22">
        <f t="shared" si="0"/>
        <v>53</v>
      </c>
    </row>
    <row r="24" spans="1:10" x14ac:dyDescent="0.25">
      <c r="A24" s="4">
        <v>23</v>
      </c>
      <c r="B24" s="6" t="s">
        <v>135</v>
      </c>
      <c r="C24" s="26">
        <v>41905</v>
      </c>
      <c r="D24" s="26">
        <v>41973</v>
      </c>
      <c r="E24" s="22"/>
      <c r="F24" s="22"/>
      <c r="G24" s="22">
        <f t="shared" si="2"/>
        <v>68</v>
      </c>
      <c r="H24" s="22"/>
      <c r="I24" s="22">
        <f t="shared" si="0"/>
        <v>68</v>
      </c>
      <c r="J24" s="37"/>
    </row>
    <row r="25" spans="1:10" x14ac:dyDescent="0.25">
      <c r="A25" s="4">
        <v>24</v>
      </c>
      <c r="B25" s="6" t="s">
        <v>136</v>
      </c>
      <c r="C25" s="26">
        <v>41986</v>
      </c>
      <c r="D25" s="26">
        <v>42004</v>
      </c>
      <c r="E25" s="22"/>
      <c r="F25" s="22"/>
      <c r="G25" s="22">
        <f t="shared" si="2"/>
        <v>18</v>
      </c>
      <c r="H25" s="22"/>
      <c r="I25" s="22">
        <f t="shared" si="0"/>
        <v>18</v>
      </c>
      <c r="J25" t="s">
        <v>190</v>
      </c>
    </row>
    <row r="26" spans="1:10" x14ac:dyDescent="0.25">
      <c r="A26" s="4">
        <v>25</v>
      </c>
      <c r="B26" s="6" t="s">
        <v>137</v>
      </c>
      <c r="C26" s="26" t="s">
        <v>70</v>
      </c>
      <c r="D26" s="22"/>
      <c r="E26" s="22"/>
      <c r="F26" s="22"/>
      <c r="G26" s="22">
        <v>0</v>
      </c>
      <c r="H26" s="22"/>
      <c r="I26" s="22">
        <f t="shared" si="0"/>
        <v>0</v>
      </c>
    </row>
    <row r="27" spans="1:10" x14ac:dyDescent="0.25">
      <c r="A27" s="4">
        <v>26</v>
      </c>
      <c r="B27" s="6" t="s">
        <v>138</v>
      </c>
      <c r="C27" s="26" t="s">
        <v>70</v>
      </c>
      <c r="D27" s="22"/>
      <c r="E27" s="22"/>
      <c r="F27" s="22"/>
      <c r="G27" s="22">
        <v>0</v>
      </c>
      <c r="H27" s="22"/>
      <c r="I27" s="22">
        <f t="shared" si="0"/>
        <v>0</v>
      </c>
    </row>
    <row r="28" spans="1:10" x14ac:dyDescent="0.25">
      <c r="A28" s="4">
        <v>27</v>
      </c>
      <c r="B28" s="6" t="s">
        <v>139</v>
      </c>
      <c r="C28" s="26">
        <v>41713</v>
      </c>
      <c r="D28" s="26">
        <v>41723</v>
      </c>
      <c r="E28" s="22"/>
      <c r="F28" s="22"/>
      <c r="G28" s="22">
        <f>D28-C28</f>
        <v>10</v>
      </c>
      <c r="H28" s="22"/>
      <c r="I28" s="22">
        <f t="shared" si="0"/>
        <v>10</v>
      </c>
    </row>
    <row r="29" spans="1:10" x14ac:dyDescent="0.25">
      <c r="A29" s="4">
        <v>28</v>
      </c>
      <c r="B29" s="6" t="s">
        <v>140</v>
      </c>
      <c r="C29" s="26">
        <v>41699</v>
      </c>
      <c r="D29" s="26">
        <v>41748</v>
      </c>
      <c r="E29" s="22"/>
      <c r="F29" s="22"/>
      <c r="G29" s="22">
        <f>D29-C29</f>
        <v>49</v>
      </c>
      <c r="H29" s="22"/>
      <c r="I29" s="22">
        <f t="shared" si="0"/>
        <v>49</v>
      </c>
    </row>
    <row r="30" spans="1:10" x14ac:dyDescent="0.25">
      <c r="A30" s="4">
        <v>29</v>
      </c>
      <c r="B30" s="6" t="s">
        <v>142</v>
      </c>
      <c r="C30" s="26" t="s">
        <v>70</v>
      </c>
      <c r="D30" s="22"/>
      <c r="E30" s="22"/>
      <c r="F30" s="22"/>
      <c r="G30" s="22">
        <v>0</v>
      </c>
      <c r="H30" s="22"/>
      <c r="I30" s="22">
        <f t="shared" si="0"/>
        <v>0</v>
      </c>
    </row>
    <row r="31" spans="1:10" x14ac:dyDescent="0.25">
      <c r="A31" s="4">
        <v>30</v>
      </c>
      <c r="B31" s="6" t="s">
        <v>150</v>
      </c>
      <c r="C31" s="26" t="s">
        <v>70</v>
      </c>
      <c r="D31" s="22"/>
      <c r="E31" s="22"/>
      <c r="F31" s="22"/>
      <c r="G31" s="22">
        <v>0</v>
      </c>
      <c r="H31" s="22"/>
      <c r="I31" s="22">
        <f t="shared" si="0"/>
        <v>0</v>
      </c>
    </row>
    <row r="32" spans="1:10" x14ac:dyDescent="0.25">
      <c r="A32" s="4">
        <v>31</v>
      </c>
      <c r="B32" s="6" t="s">
        <v>152</v>
      </c>
      <c r="C32" s="26">
        <v>41840</v>
      </c>
      <c r="D32" s="26">
        <v>41873</v>
      </c>
      <c r="E32" s="22"/>
      <c r="F32" s="22"/>
      <c r="G32" s="22">
        <f>D32-C32</f>
        <v>33</v>
      </c>
      <c r="H32" s="22"/>
      <c r="I32" s="22">
        <f t="shared" si="0"/>
        <v>33</v>
      </c>
    </row>
    <row r="33" spans="1:9" x14ac:dyDescent="0.25">
      <c r="A33" s="4">
        <v>32</v>
      </c>
      <c r="B33" s="6" t="s">
        <v>153</v>
      </c>
      <c r="C33" s="26" t="s">
        <v>70</v>
      </c>
      <c r="D33" s="22"/>
      <c r="E33" s="22"/>
      <c r="F33" s="22"/>
      <c r="G33" s="22">
        <v>0</v>
      </c>
      <c r="H33" s="22"/>
      <c r="I33" s="22">
        <f t="shared" si="0"/>
        <v>0</v>
      </c>
    </row>
    <row r="34" spans="1:9" x14ac:dyDescent="0.25">
      <c r="A34" s="4">
        <v>33</v>
      </c>
      <c r="B34" s="6" t="s">
        <v>154</v>
      </c>
      <c r="C34" s="26" t="s">
        <v>70</v>
      </c>
      <c r="D34" s="22"/>
      <c r="E34" s="22"/>
      <c r="F34" s="22"/>
      <c r="G34" s="22">
        <v>0</v>
      </c>
      <c r="H34" s="22"/>
      <c r="I34" s="22">
        <f t="shared" si="0"/>
        <v>0</v>
      </c>
    </row>
    <row r="35" spans="1:9" x14ac:dyDescent="0.25">
      <c r="A35" s="4">
        <v>34</v>
      </c>
      <c r="B35" s="6" t="s">
        <v>161</v>
      </c>
      <c r="C35" s="26">
        <v>41954</v>
      </c>
      <c r="D35" s="26">
        <v>41987</v>
      </c>
      <c r="E35" s="26"/>
      <c r="F35" s="26"/>
      <c r="G35" s="22">
        <f>D35-C35</f>
        <v>33</v>
      </c>
      <c r="H35" s="22">
        <f>F35-E35</f>
        <v>0</v>
      </c>
      <c r="I35" s="22">
        <f t="shared" si="0"/>
        <v>33</v>
      </c>
    </row>
    <row r="36" spans="1:9" x14ac:dyDescent="0.25">
      <c r="A36" s="4">
        <v>35</v>
      </c>
      <c r="B36" s="6" t="s">
        <v>162</v>
      </c>
      <c r="C36" s="26" t="s">
        <v>70</v>
      </c>
      <c r="D36" s="22"/>
      <c r="E36" s="22"/>
      <c r="F36" s="22"/>
      <c r="G36" s="22">
        <v>0</v>
      </c>
      <c r="H36" s="22"/>
      <c r="I36" s="22">
        <f t="shared" si="0"/>
        <v>0</v>
      </c>
    </row>
    <row r="37" spans="1:9" x14ac:dyDescent="0.25">
      <c r="A37" s="4">
        <v>36</v>
      </c>
      <c r="B37" s="6" t="s">
        <v>163</v>
      </c>
      <c r="C37" s="26">
        <v>41987</v>
      </c>
      <c r="D37" s="26">
        <v>42004</v>
      </c>
      <c r="E37" s="22"/>
      <c r="F37" s="22"/>
      <c r="G37" s="22">
        <f>D37-C37</f>
        <v>17</v>
      </c>
      <c r="H37" s="22"/>
      <c r="I37" s="22">
        <f t="shared" si="0"/>
        <v>17</v>
      </c>
    </row>
    <row r="38" spans="1:9" x14ac:dyDescent="0.25">
      <c r="A38" s="4">
        <v>37</v>
      </c>
      <c r="B38" s="6" t="s">
        <v>164</v>
      </c>
      <c r="C38" s="26" t="s">
        <v>70</v>
      </c>
      <c r="D38" s="26"/>
      <c r="E38" s="22"/>
      <c r="F38" s="22"/>
      <c r="G38" s="22">
        <v>0</v>
      </c>
      <c r="H38" s="22"/>
      <c r="I38" s="22">
        <f t="shared" si="0"/>
        <v>0</v>
      </c>
    </row>
    <row r="39" spans="1:9" x14ac:dyDescent="0.25">
      <c r="A39" s="4">
        <v>38</v>
      </c>
      <c r="B39" s="6" t="s">
        <v>167</v>
      </c>
      <c r="C39" s="26" t="s">
        <v>70</v>
      </c>
      <c r="D39" s="22"/>
      <c r="E39" s="22"/>
      <c r="F39" s="22"/>
      <c r="G39" s="22">
        <v>0</v>
      </c>
      <c r="H39" s="22"/>
      <c r="I39" s="22">
        <f t="shared" si="0"/>
        <v>0</v>
      </c>
    </row>
    <row r="40" spans="1:9" x14ac:dyDescent="0.25">
      <c r="A40" s="4">
        <v>39</v>
      </c>
      <c r="B40" s="36" t="s">
        <v>165</v>
      </c>
      <c r="C40" s="26" t="s">
        <v>70</v>
      </c>
      <c r="D40" s="22"/>
      <c r="E40" s="22"/>
      <c r="F40" s="22"/>
      <c r="G40" s="22">
        <v>0</v>
      </c>
      <c r="H40" s="22"/>
      <c r="I40" s="22">
        <f t="shared" si="0"/>
        <v>0</v>
      </c>
    </row>
    <row r="41" spans="1:9" x14ac:dyDescent="0.25">
      <c r="A41" s="4">
        <v>40</v>
      </c>
      <c r="B41" s="36" t="s">
        <v>166</v>
      </c>
      <c r="C41" s="26">
        <v>41784</v>
      </c>
      <c r="D41" s="26">
        <v>41793</v>
      </c>
      <c r="E41" s="26">
        <v>41944</v>
      </c>
      <c r="F41" s="26">
        <v>41977</v>
      </c>
      <c r="G41" s="22">
        <f>D41-C41</f>
        <v>9</v>
      </c>
      <c r="H41" s="22">
        <f>F41-E41</f>
        <v>33</v>
      </c>
      <c r="I41" s="22">
        <f t="shared" si="0"/>
        <v>42</v>
      </c>
    </row>
    <row r="42" spans="1:9" x14ac:dyDescent="0.25">
      <c r="A42" s="4">
        <v>41</v>
      </c>
      <c r="B42" s="6" t="s">
        <v>170</v>
      </c>
      <c r="C42" s="26" t="s">
        <v>176</v>
      </c>
      <c r="D42" s="26"/>
      <c r="E42" s="26"/>
      <c r="F42" s="22"/>
      <c r="G42" s="22"/>
      <c r="H42" s="22"/>
      <c r="I42" s="22"/>
    </row>
    <row r="43" spans="1:9" x14ac:dyDescent="0.25">
      <c r="A43" s="4">
        <v>42</v>
      </c>
      <c r="B43" s="6" t="s">
        <v>171</v>
      </c>
      <c r="C43" s="26" t="s">
        <v>177</v>
      </c>
      <c r="D43" s="26"/>
      <c r="E43" s="26"/>
      <c r="F43" s="22"/>
      <c r="G43" s="22"/>
      <c r="H43" s="22"/>
      <c r="I43" s="22"/>
    </row>
    <row r="44" spans="1:9" x14ac:dyDescent="0.25">
      <c r="A44" s="4">
        <v>43</v>
      </c>
      <c r="B44" s="6" t="s">
        <v>172</v>
      </c>
      <c r="C44" s="26" t="s">
        <v>178</v>
      </c>
      <c r="D44" s="26"/>
      <c r="E44" s="26"/>
      <c r="F44" s="22"/>
      <c r="G44" s="22"/>
      <c r="H44" s="22"/>
      <c r="I44" s="22"/>
    </row>
    <row r="45" spans="1:9" x14ac:dyDescent="0.25">
      <c r="A45" s="4">
        <v>44</v>
      </c>
      <c r="B45" s="6" t="s">
        <v>173</v>
      </c>
      <c r="C45" s="26" t="s">
        <v>178</v>
      </c>
      <c r="D45" s="26"/>
      <c r="E45" s="26"/>
      <c r="F45" s="22"/>
      <c r="G45" s="22"/>
      <c r="H45" s="22"/>
      <c r="I45" s="22"/>
    </row>
    <row r="46" spans="1:9" x14ac:dyDescent="0.25">
      <c r="A46" s="4">
        <v>45</v>
      </c>
      <c r="B46" s="6" t="s">
        <v>174</v>
      </c>
      <c r="C46" s="26" t="s">
        <v>178</v>
      </c>
      <c r="D46" s="26"/>
      <c r="E46" s="26"/>
      <c r="F46" s="22"/>
      <c r="G46" s="22"/>
      <c r="H46" s="22"/>
      <c r="I46" s="22"/>
    </row>
    <row r="47" spans="1:9" x14ac:dyDescent="0.25">
      <c r="A47" s="4">
        <v>46</v>
      </c>
      <c r="B47" s="6" t="s">
        <v>175</v>
      </c>
      <c r="C47" s="26" t="s">
        <v>178</v>
      </c>
      <c r="D47" s="26"/>
      <c r="E47" s="26"/>
      <c r="F47" s="22"/>
      <c r="G47" s="22"/>
      <c r="H47" s="22"/>
      <c r="I47" s="22"/>
    </row>
    <row r="48" spans="1:9" x14ac:dyDescent="0.25">
      <c r="A48" s="4">
        <v>47</v>
      </c>
      <c r="B48" s="38" t="s">
        <v>182</v>
      </c>
      <c r="C48" s="26"/>
      <c r="D48" s="26"/>
      <c r="E48" s="26"/>
      <c r="F48" s="22"/>
      <c r="G48" s="22"/>
      <c r="H48" s="22"/>
      <c r="I48" s="22"/>
    </row>
    <row r="49" spans="1:10" x14ac:dyDescent="0.25">
      <c r="A49" s="4">
        <v>48</v>
      </c>
      <c r="B49" s="38" t="s">
        <v>183</v>
      </c>
      <c r="C49" s="26"/>
      <c r="D49" s="26"/>
      <c r="E49" s="26"/>
      <c r="F49" s="22"/>
      <c r="G49" s="22"/>
      <c r="H49" s="22"/>
      <c r="I49" s="22"/>
    </row>
    <row r="50" spans="1:10" x14ac:dyDescent="0.25">
      <c r="A50" s="4">
        <v>49</v>
      </c>
      <c r="B50" s="2" t="s">
        <v>28</v>
      </c>
      <c r="C50" s="26">
        <v>41955</v>
      </c>
      <c r="D50" s="26">
        <v>41987</v>
      </c>
      <c r="E50" s="22"/>
      <c r="F50" s="22"/>
      <c r="G50" s="22">
        <f>D50-C50</f>
        <v>32</v>
      </c>
      <c r="H50" s="22"/>
      <c r="I50" s="22">
        <f t="shared" si="0"/>
        <v>32</v>
      </c>
    </row>
    <row r="51" spans="1:10" x14ac:dyDescent="0.25">
      <c r="A51" s="4">
        <v>50</v>
      </c>
      <c r="B51" s="1" t="s">
        <v>29</v>
      </c>
      <c r="C51" s="26">
        <v>41683</v>
      </c>
      <c r="D51" s="26">
        <v>41769</v>
      </c>
      <c r="E51" s="22"/>
      <c r="F51" s="22"/>
      <c r="G51" s="22">
        <f>D51-C51</f>
        <v>86</v>
      </c>
      <c r="H51" s="22"/>
      <c r="I51" s="22">
        <f t="shared" si="0"/>
        <v>86</v>
      </c>
    </row>
    <row r="52" spans="1:10" x14ac:dyDescent="0.25">
      <c r="A52" s="4">
        <v>51</v>
      </c>
      <c r="B52" s="1" t="s">
        <v>30</v>
      </c>
      <c r="C52" s="26">
        <v>41944</v>
      </c>
      <c r="D52" s="26">
        <v>42004</v>
      </c>
      <c r="E52" s="22"/>
      <c r="F52" s="22"/>
      <c r="G52" s="22">
        <f>D52-C52</f>
        <v>60</v>
      </c>
      <c r="H52" s="22"/>
      <c r="I52" s="22">
        <f t="shared" si="0"/>
        <v>60</v>
      </c>
      <c r="J52" t="s">
        <v>190</v>
      </c>
    </row>
    <row r="53" spans="1:10" x14ac:dyDescent="0.25">
      <c r="A53" s="4">
        <v>52</v>
      </c>
      <c r="B53" s="1" t="s">
        <v>31</v>
      </c>
      <c r="C53" s="26" t="s">
        <v>70</v>
      </c>
      <c r="D53" s="22"/>
      <c r="E53" s="22"/>
      <c r="F53" s="22"/>
      <c r="G53" s="22">
        <v>0</v>
      </c>
      <c r="H53" s="22"/>
      <c r="I53" s="22">
        <f t="shared" si="0"/>
        <v>0</v>
      </c>
    </row>
    <row r="54" spans="1:10" x14ac:dyDescent="0.25">
      <c r="A54" s="4">
        <v>53</v>
      </c>
      <c r="B54" s="1" t="s">
        <v>32</v>
      </c>
      <c r="C54" s="26">
        <v>41811</v>
      </c>
      <c r="D54" s="26">
        <v>41832</v>
      </c>
      <c r="E54" s="26">
        <v>41851</v>
      </c>
      <c r="F54" s="26">
        <v>41935</v>
      </c>
      <c r="G54" s="22">
        <f>D54-C54</f>
        <v>21</v>
      </c>
      <c r="H54" s="22">
        <f>F54-E54</f>
        <v>84</v>
      </c>
      <c r="I54" s="22">
        <f t="shared" si="0"/>
        <v>105</v>
      </c>
      <c r="J54" s="37"/>
    </row>
    <row r="55" spans="1:10" x14ac:dyDescent="0.25">
      <c r="A55" s="4">
        <v>54</v>
      </c>
      <c r="B55" s="1" t="s">
        <v>33</v>
      </c>
      <c r="C55" s="26" t="s">
        <v>70</v>
      </c>
      <c r="D55" s="26"/>
      <c r="E55" s="22"/>
      <c r="F55" s="22"/>
      <c r="G55" s="22">
        <v>0</v>
      </c>
      <c r="H55" s="22"/>
      <c r="I55" s="22">
        <f t="shared" si="0"/>
        <v>0</v>
      </c>
    </row>
    <row r="56" spans="1:10" x14ac:dyDescent="0.25">
      <c r="A56" s="4">
        <v>55</v>
      </c>
      <c r="B56" s="1" t="s">
        <v>47</v>
      </c>
      <c r="C56" s="26" t="s">
        <v>70</v>
      </c>
      <c r="D56" s="22"/>
      <c r="E56" s="22"/>
      <c r="F56" s="22"/>
      <c r="G56" s="22">
        <v>0</v>
      </c>
      <c r="H56" s="22"/>
      <c r="I56" s="22">
        <f>G56+H56</f>
        <v>0</v>
      </c>
    </row>
    <row r="57" spans="1:10" x14ac:dyDescent="0.25">
      <c r="A57" s="4">
        <v>56</v>
      </c>
      <c r="B57" s="2" t="s">
        <v>34</v>
      </c>
      <c r="C57" s="26">
        <v>41678</v>
      </c>
      <c r="D57" s="26">
        <v>41682</v>
      </c>
      <c r="E57" s="22"/>
      <c r="F57" s="22"/>
      <c r="G57" s="22">
        <f>D57-C57</f>
        <v>4</v>
      </c>
      <c r="H57" s="22"/>
      <c r="I57" s="22">
        <f t="shared" si="0"/>
        <v>4</v>
      </c>
    </row>
    <row r="58" spans="1:10" x14ac:dyDescent="0.25">
      <c r="A58" s="4">
        <v>57</v>
      </c>
      <c r="B58" s="1" t="s">
        <v>35</v>
      </c>
      <c r="C58" s="26">
        <v>41643</v>
      </c>
      <c r="D58" s="26">
        <v>41726</v>
      </c>
      <c r="E58" s="22"/>
      <c r="F58" s="22"/>
      <c r="G58" s="22">
        <f>D58-C58</f>
        <v>83</v>
      </c>
      <c r="H58" s="22"/>
      <c r="I58" s="22">
        <f t="shared" si="0"/>
        <v>83</v>
      </c>
    </row>
    <row r="59" spans="1:10" x14ac:dyDescent="0.25">
      <c r="A59" s="4">
        <v>58</v>
      </c>
      <c r="B59" s="5" t="s">
        <v>37</v>
      </c>
      <c r="C59" s="26" t="s">
        <v>70</v>
      </c>
      <c r="D59" s="22"/>
      <c r="E59" s="22"/>
      <c r="F59" s="22"/>
      <c r="G59" s="22">
        <v>0</v>
      </c>
      <c r="H59" s="22"/>
      <c r="I59" s="22">
        <f t="shared" si="0"/>
        <v>0</v>
      </c>
    </row>
    <row r="60" spans="1:10" x14ac:dyDescent="0.25">
      <c r="A60" s="4">
        <v>59</v>
      </c>
      <c r="B60" s="5" t="s">
        <v>39</v>
      </c>
      <c r="C60" s="26">
        <v>41836</v>
      </c>
      <c r="D60" s="26">
        <v>41909</v>
      </c>
      <c r="E60" s="22"/>
      <c r="F60" s="22"/>
      <c r="G60" s="22">
        <f>D60-C60</f>
        <v>73</v>
      </c>
      <c r="H60" s="22"/>
      <c r="I60" s="22">
        <f t="shared" si="0"/>
        <v>73</v>
      </c>
    </row>
    <row r="61" spans="1:10" x14ac:dyDescent="0.25">
      <c r="A61" s="4">
        <v>60</v>
      </c>
      <c r="B61" s="5" t="s">
        <v>157</v>
      </c>
      <c r="C61" s="26" t="s">
        <v>70</v>
      </c>
      <c r="D61" s="26"/>
      <c r="E61" s="22"/>
      <c r="F61" s="22"/>
      <c r="G61" s="22">
        <v>0</v>
      </c>
      <c r="H61" s="22"/>
      <c r="I61" s="22">
        <f t="shared" si="0"/>
        <v>0</v>
      </c>
    </row>
    <row r="62" spans="1:10" x14ac:dyDescent="0.25">
      <c r="A62" s="4">
        <v>61</v>
      </c>
      <c r="B62" s="5" t="s">
        <v>158</v>
      </c>
      <c r="C62" s="26" t="s">
        <v>70</v>
      </c>
      <c r="D62" s="26"/>
      <c r="E62" s="22"/>
      <c r="F62" s="22"/>
      <c r="G62" s="22">
        <v>0</v>
      </c>
      <c r="H62" s="22"/>
      <c r="I62" s="22">
        <f t="shared" si="0"/>
        <v>0</v>
      </c>
    </row>
    <row r="63" spans="1:10" x14ac:dyDescent="0.25">
      <c r="A63" s="4">
        <v>62</v>
      </c>
      <c r="B63" s="23" t="s">
        <v>40</v>
      </c>
      <c r="C63" s="26">
        <v>41876</v>
      </c>
      <c r="D63" s="26">
        <v>41945</v>
      </c>
      <c r="E63" s="22"/>
      <c r="F63" s="22"/>
      <c r="G63" s="22">
        <f>D63-C63</f>
        <v>69</v>
      </c>
      <c r="H63" s="22"/>
      <c r="I63" s="22">
        <f t="shared" si="0"/>
        <v>69</v>
      </c>
      <c r="J63" s="37"/>
    </row>
    <row r="64" spans="1:10" x14ac:dyDescent="0.25">
      <c r="A64" s="4">
        <v>63</v>
      </c>
      <c r="B64" s="12" t="s">
        <v>184</v>
      </c>
      <c r="C64" s="26"/>
      <c r="D64" s="26"/>
      <c r="E64" s="22"/>
      <c r="F64" s="22"/>
      <c r="G64" s="22"/>
      <c r="H64" s="22"/>
      <c r="I64" s="22"/>
      <c r="J64" s="37"/>
    </row>
    <row r="65" spans="1:10" x14ac:dyDescent="0.25">
      <c r="A65" s="4">
        <v>64</v>
      </c>
      <c r="B65" s="12" t="s">
        <v>185</v>
      </c>
      <c r="C65" s="26"/>
      <c r="D65" s="26"/>
      <c r="E65" s="22"/>
      <c r="F65" s="22"/>
      <c r="G65" s="22"/>
      <c r="H65" s="22"/>
      <c r="I65" s="22"/>
      <c r="J65" s="37"/>
    </row>
    <row r="66" spans="1:10" x14ac:dyDescent="0.25">
      <c r="A66" s="4">
        <v>65</v>
      </c>
      <c r="B66" s="6" t="s">
        <v>42</v>
      </c>
      <c r="C66" s="26">
        <v>41752</v>
      </c>
      <c r="D66" s="26">
        <v>41833</v>
      </c>
      <c r="E66" s="22"/>
      <c r="F66" s="22"/>
      <c r="G66" s="22">
        <f>D66-C66</f>
        <v>81</v>
      </c>
      <c r="H66" s="22"/>
      <c r="I66" s="22">
        <f t="shared" si="0"/>
        <v>81</v>
      </c>
    </row>
    <row r="67" spans="1:10" x14ac:dyDescent="0.25">
      <c r="A67" s="4">
        <v>66</v>
      </c>
      <c r="B67" s="1" t="s">
        <v>43</v>
      </c>
      <c r="C67" s="26">
        <v>41944</v>
      </c>
      <c r="D67" s="26">
        <v>42004</v>
      </c>
      <c r="E67" s="22"/>
      <c r="F67" s="22"/>
      <c r="G67" s="22">
        <f>D67-C67</f>
        <v>60</v>
      </c>
      <c r="H67" s="22"/>
      <c r="I67" s="22">
        <f t="shared" si="0"/>
        <v>60</v>
      </c>
      <c r="J67" t="s">
        <v>190</v>
      </c>
    </row>
    <row r="68" spans="1:10" x14ac:dyDescent="0.25">
      <c r="A68" s="4">
        <v>67</v>
      </c>
      <c r="B68" s="1" t="s">
        <v>44</v>
      </c>
      <c r="C68" s="26">
        <v>41760</v>
      </c>
      <c r="D68" s="26">
        <v>41856</v>
      </c>
      <c r="E68" s="22"/>
      <c r="F68" s="22"/>
      <c r="G68" s="22">
        <f>D68-C68</f>
        <v>96</v>
      </c>
      <c r="H68" s="22"/>
      <c r="I68" s="22">
        <f t="shared" si="0"/>
        <v>96</v>
      </c>
    </row>
    <row r="69" spans="1:10" x14ac:dyDescent="0.25">
      <c r="A69" s="4">
        <v>68</v>
      </c>
      <c r="B69" s="1" t="s">
        <v>45</v>
      </c>
      <c r="C69" s="26" t="s">
        <v>70</v>
      </c>
      <c r="D69" s="22"/>
      <c r="E69" s="22"/>
      <c r="F69" s="22"/>
      <c r="G69" s="22">
        <v>0</v>
      </c>
      <c r="H69" s="22"/>
      <c r="I69" s="22">
        <f t="shared" si="0"/>
        <v>0</v>
      </c>
    </row>
    <row r="70" spans="1:10" x14ac:dyDescent="0.25">
      <c r="A70" s="4">
        <v>69</v>
      </c>
      <c r="B70" s="1" t="s">
        <v>46</v>
      </c>
      <c r="C70" s="26" t="s">
        <v>70</v>
      </c>
      <c r="D70" s="22"/>
      <c r="E70" s="22"/>
      <c r="F70" s="22"/>
      <c r="G70" s="22">
        <v>0</v>
      </c>
      <c r="H70" s="22"/>
      <c r="I70" s="22">
        <f t="shared" si="0"/>
        <v>0</v>
      </c>
    </row>
    <row r="71" spans="1:10" x14ac:dyDescent="0.25">
      <c r="A71" s="4">
        <v>70</v>
      </c>
      <c r="B71" s="1" t="s">
        <v>48</v>
      </c>
      <c r="C71" s="26" t="s">
        <v>70</v>
      </c>
      <c r="D71" s="22"/>
      <c r="E71" s="22"/>
      <c r="F71" s="22"/>
      <c r="G71" s="22">
        <v>0</v>
      </c>
      <c r="H71" s="22"/>
      <c r="I71" s="22">
        <f t="shared" si="0"/>
        <v>0</v>
      </c>
    </row>
    <row r="72" spans="1:10" x14ac:dyDescent="0.25">
      <c r="A72" s="4">
        <v>71</v>
      </c>
      <c r="B72" s="1" t="s">
        <v>49</v>
      </c>
      <c r="C72" s="26" t="s">
        <v>70</v>
      </c>
      <c r="D72" s="22"/>
      <c r="E72" s="22"/>
      <c r="F72" s="22"/>
      <c r="G72" s="22">
        <v>0</v>
      </c>
      <c r="H72" s="22"/>
      <c r="I72" s="22">
        <f t="shared" ref="I72:I78" si="3">G72+H72</f>
        <v>0</v>
      </c>
    </row>
    <row r="73" spans="1:10" x14ac:dyDescent="0.25">
      <c r="A73" s="4">
        <v>72</v>
      </c>
      <c r="B73" s="1" t="s">
        <v>50</v>
      </c>
      <c r="C73" s="26">
        <v>41795</v>
      </c>
      <c r="D73" s="26">
        <v>41882</v>
      </c>
      <c r="E73" s="22"/>
      <c r="F73" s="22"/>
      <c r="G73" s="22">
        <f>D73-C73</f>
        <v>87</v>
      </c>
      <c r="H73" s="22"/>
      <c r="I73" s="22">
        <f t="shared" si="3"/>
        <v>87</v>
      </c>
    </row>
    <row r="74" spans="1:10" x14ac:dyDescent="0.25">
      <c r="A74" s="4">
        <v>73</v>
      </c>
      <c r="B74" s="1" t="s">
        <v>51</v>
      </c>
      <c r="C74" s="26">
        <v>41760</v>
      </c>
      <c r="D74" s="26">
        <v>41820</v>
      </c>
      <c r="E74" s="22"/>
      <c r="F74" s="22"/>
      <c r="G74" s="22">
        <f>D74-C74</f>
        <v>60</v>
      </c>
      <c r="H74" s="22"/>
      <c r="I74" s="22">
        <f t="shared" si="3"/>
        <v>60</v>
      </c>
    </row>
    <row r="75" spans="1:10" x14ac:dyDescent="0.25">
      <c r="A75" s="4">
        <v>74</v>
      </c>
      <c r="B75" s="6" t="s">
        <v>52</v>
      </c>
      <c r="C75" s="26">
        <v>41682</v>
      </c>
      <c r="D75" s="26">
        <v>41761</v>
      </c>
      <c r="E75" s="22"/>
      <c r="F75" s="22"/>
      <c r="G75" s="22">
        <f>D75-C75</f>
        <v>79</v>
      </c>
      <c r="H75" s="22"/>
      <c r="I75" s="22">
        <f t="shared" si="3"/>
        <v>79</v>
      </c>
    </row>
    <row r="76" spans="1:10" x14ac:dyDescent="0.25">
      <c r="A76" s="4">
        <v>75</v>
      </c>
      <c r="B76" s="6" t="s">
        <v>53</v>
      </c>
      <c r="C76" s="26" t="s">
        <v>70</v>
      </c>
      <c r="D76" s="22"/>
      <c r="E76" s="22"/>
      <c r="F76" s="22"/>
      <c r="G76" s="22">
        <v>0</v>
      </c>
      <c r="H76" s="22"/>
      <c r="I76" s="22">
        <f t="shared" si="3"/>
        <v>0</v>
      </c>
    </row>
    <row r="77" spans="1:10" x14ac:dyDescent="0.25">
      <c r="A77" s="4">
        <v>76</v>
      </c>
      <c r="B77" s="6" t="s">
        <v>54</v>
      </c>
      <c r="C77" s="26" t="s">
        <v>70</v>
      </c>
      <c r="D77" s="22"/>
      <c r="E77" s="22"/>
      <c r="F77" s="22"/>
      <c r="G77" s="22">
        <v>0</v>
      </c>
      <c r="H77" s="22"/>
      <c r="I77" s="22">
        <f t="shared" si="3"/>
        <v>0</v>
      </c>
    </row>
    <row r="78" spans="1:10" x14ac:dyDescent="0.25">
      <c r="A78" s="4">
        <v>77</v>
      </c>
      <c r="B78" s="6" t="s">
        <v>55</v>
      </c>
      <c r="C78" s="26" t="s">
        <v>70</v>
      </c>
      <c r="D78" s="22"/>
      <c r="E78" s="22"/>
      <c r="F78" s="22"/>
      <c r="G78" s="22">
        <v>0</v>
      </c>
      <c r="H78" s="22"/>
      <c r="I78" s="22">
        <f t="shared" si="3"/>
        <v>0</v>
      </c>
    </row>
    <row r="79" spans="1:10" x14ac:dyDescent="0.25">
      <c r="A79" s="4">
        <v>78</v>
      </c>
      <c r="B79" s="38" t="s">
        <v>186</v>
      </c>
    </row>
    <row r="80" spans="1:10" x14ac:dyDescent="0.25">
      <c r="A80" s="4">
        <v>79</v>
      </c>
      <c r="B80" s="40" t="s">
        <v>187</v>
      </c>
    </row>
    <row r="81" spans="1:9" x14ac:dyDescent="0.25">
      <c r="A81" s="39">
        <v>80</v>
      </c>
      <c r="B81" s="40" t="s">
        <v>188</v>
      </c>
    </row>
    <row r="86" spans="1:9" x14ac:dyDescent="0.25">
      <c r="A86" s="4">
        <v>1</v>
      </c>
      <c r="B86" s="6" t="s">
        <v>0</v>
      </c>
      <c r="C86" s="26" t="s">
        <v>70</v>
      </c>
      <c r="D86" s="26"/>
      <c r="E86" s="22"/>
      <c r="F86" s="22"/>
      <c r="G86" s="22">
        <v>0</v>
      </c>
      <c r="H86" s="22"/>
      <c r="I86" s="22">
        <f>G86+H86</f>
        <v>0</v>
      </c>
    </row>
    <row r="87" spans="1:9" x14ac:dyDescent="0.25">
      <c r="A87" s="4">
        <v>29</v>
      </c>
      <c r="B87" s="6" t="s">
        <v>143</v>
      </c>
      <c r="C87" s="26" t="s">
        <v>70</v>
      </c>
      <c r="D87" s="22"/>
      <c r="E87" s="22"/>
      <c r="F87" s="22"/>
      <c r="G87" s="22">
        <v>0</v>
      </c>
      <c r="H87" s="22"/>
      <c r="I87" s="22">
        <f>G87+H87</f>
        <v>0</v>
      </c>
    </row>
    <row r="88" spans="1:9" x14ac:dyDescent="0.25">
      <c r="A88" s="4">
        <v>30</v>
      </c>
      <c r="B88" s="6" t="s">
        <v>144</v>
      </c>
      <c r="C88" s="26" t="s">
        <v>70</v>
      </c>
      <c r="D88" s="22"/>
      <c r="E88" s="22"/>
      <c r="F88" s="22"/>
      <c r="G88" s="22">
        <v>0</v>
      </c>
      <c r="H88" s="22"/>
      <c r="I88" s="22">
        <f>G88+H88</f>
        <v>0</v>
      </c>
    </row>
  </sheetData>
  <mergeCells count="2">
    <mergeCell ref="C1:D1"/>
    <mergeCell ref="E1:F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3"/>
  <sheetViews>
    <sheetView topLeftCell="A40" workbookViewId="0">
      <selection activeCell="C44" sqref="C44"/>
    </sheetView>
  </sheetViews>
  <sheetFormatPr defaultRowHeight="15" x14ac:dyDescent="0.25"/>
  <cols>
    <col min="2" max="2" width="35.42578125" style="24" bestFit="1" customWidth="1"/>
    <col min="3" max="6" width="10.7109375" bestFit="1" customWidth="1"/>
  </cols>
  <sheetData>
    <row r="1" spans="1:9" x14ac:dyDescent="0.25">
      <c r="A1" s="17" t="s">
        <v>125</v>
      </c>
      <c r="B1" s="25" t="s">
        <v>126</v>
      </c>
      <c r="C1" s="152" t="s">
        <v>134</v>
      </c>
      <c r="D1" s="152"/>
      <c r="E1" s="152" t="s">
        <v>128</v>
      </c>
      <c r="F1" s="152"/>
      <c r="G1" t="s">
        <v>129</v>
      </c>
      <c r="H1" t="s">
        <v>129</v>
      </c>
      <c r="I1" t="s">
        <v>72</v>
      </c>
    </row>
    <row r="2" spans="1:9" x14ac:dyDescent="0.25">
      <c r="A2" s="4">
        <v>1</v>
      </c>
      <c r="B2" s="6" t="s">
        <v>0</v>
      </c>
      <c r="C2" s="26">
        <v>41518</v>
      </c>
      <c r="D2" s="26">
        <v>41535</v>
      </c>
      <c r="E2" s="22"/>
      <c r="F2" s="22"/>
      <c r="G2" s="22">
        <f>D2-C2</f>
        <v>17</v>
      </c>
      <c r="H2" s="22"/>
      <c r="I2" s="22">
        <f>G2+H2</f>
        <v>17</v>
      </c>
    </row>
    <row r="3" spans="1:9" x14ac:dyDescent="0.25">
      <c r="A3" s="4">
        <v>2</v>
      </c>
      <c r="B3" s="6" t="s">
        <v>1</v>
      </c>
      <c r="C3" s="26">
        <v>41518</v>
      </c>
      <c r="D3" s="26">
        <v>41537</v>
      </c>
      <c r="E3" s="22"/>
      <c r="F3" s="22"/>
      <c r="G3" s="22">
        <f>D3-C3+2</f>
        <v>21</v>
      </c>
      <c r="H3" s="22"/>
      <c r="I3" s="22">
        <f t="shared" ref="I3:I60" si="0">G3+H3</f>
        <v>21</v>
      </c>
    </row>
    <row r="4" spans="1:9" x14ac:dyDescent="0.25">
      <c r="A4" s="4">
        <v>3</v>
      </c>
      <c r="B4" s="5" t="s">
        <v>2</v>
      </c>
      <c r="C4" s="26">
        <v>41598</v>
      </c>
      <c r="D4" s="26">
        <v>41614</v>
      </c>
      <c r="E4" s="22"/>
      <c r="F4" s="22"/>
      <c r="G4" s="22">
        <f>D4-C4+2</f>
        <v>18</v>
      </c>
      <c r="H4" s="22"/>
      <c r="I4" s="22">
        <f t="shared" si="0"/>
        <v>18</v>
      </c>
    </row>
    <row r="5" spans="1:9" x14ac:dyDescent="0.25">
      <c r="A5" s="4">
        <v>4</v>
      </c>
      <c r="B5" s="5" t="s">
        <v>3</v>
      </c>
      <c r="C5" s="22" t="s">
        <v>70</v>
      </c>
      <c r="D5" s="22"/>
      <c r="E5" s="22"/>
      <c r="F5" s="22"/>
      <c r="G5" s="22"/>
      <c r="H5" s="22"/>
      <c r="I5" s="22">
        <f t="shared" si="0"/>
        <v>0</v>
      </c>
    </row>
    <row r="6" spans="1:9" x14ac:dyDescent="0.25">
      <c r="A6" s="4">
        <v>5</v>
      </c>
      <c r="B6" s="6" t="s">
        <v>5</v>
      </c>
      <c r="C6" s="26">
        <v>41465</v>
      </c>
      <c r="D6" s="26">
        <v>41528</v>
      </c>
      <c r="E6" s="22"/>
      <c r="F6" s="22"/>
      <c r="G6" s="22">
        <f>D6-C6</f>
        <v>63</v>
      </c>
      <c r="H6" s="22"/>
      <c r="I6" s="22">
        <f t="shared" si="0"/>
        <v>63</v>
      </c>
    </row>
    <row r="7" spans="1:9" x14ac:dyDescent="0.25">
      <c r="A7" s="4">
        <v>6</v>
      </c>
      <c r="B7" s="2" t="s">
        <v>6</v>
      </c>
      <c r="C7" s="26">
        <v>41465</v>
      </c>
      <c r="D7" s="26">
        <v>41469</v>
      </c>
      <c r="E7" s="22"/>
      <c r="F7" s="22"/>
      <c r="G7" s="22">
        <f>D7-C7</f>
        <v>4</v>
      </c>
      <c r="H7" s="22"/>
      <c r="I7" s="22">
        <f t="shared" si="0"/>
        <v>4</v>
      </c>
    </row>
    <row r="8" spans="1:9" x14ac:dyDescent="0.25">
      <c r="A8" s="4">
        <v>7</v>
      </c>
      <c r="B8" s="5" t="s">
        <v>9</v>
      </c>
      <c r="C8" s="26">
        <v>41325</v>
      </c>
      <c r="D8" s="26">
        <v>41333</v>
      </c>
      <c r="E8" s="22"/>
      <c r="F8" s="22"/>
      <c r="G8" s="22">
        <f>D8-C8</f>
        <v>8</v>
      </c>
      <c r="H8" s="22"/>
      <c r="I8" s="22">
        <f t="shared" si="0"/>
        <v>8</v>
      </c>
    </row>
    <row r="9" spans="1:9" x14ac:dyDescent="0.25">
      <c r="A9" s="4">
        <v>8</v>
      </c>
      <c r="B9" s="7" t="s">
        <v>10</v>
      </c>
      <c r="C9" s="26">
        <v>41624</v>
      </c>
      <c r="D9" s="26">
        <v>41639</v>
      </c>
      <c r="E9" s="22"/>
      <c r="F9" s="22"/>
      <c r="G9" s="22">
        <f>D9-C9</f>
        <v>15</v>
      </c>
      <c r="H9" s="22"/>
      <c r="I9" s="22">
        <f t="shared" si="0"/>
        <v>15</v>
      </c>
    </row>
    <row r="10" spans="1:9" x14ac:dyDescent="0.25">
      <c r="A10" s="4">
        <v>9</v>
      </c>
      <c r="B10" s="6" t="s">
        <v>11</v>
      </c>
      <c r="C10" s="26">
        <v>41446</v>
      </c>
      <c r="D10" s="26">
        <v>41475</v>
      </c>
      <c r="E10" s="22"/>
      <c r="F10" s="22"/>
      <c r="G10" s="22">
        <f>D10-C10</f>
        <v>29</v>
      </c>
      <c r="H10" s="22"/>
      <c r="I10" s="22">
        <f t="shared" si="0"/>
        <v>29</v>
      </c>
    </row>
    <row r="11" spans="1:9" x14ac:dyDescent="0.25">
      <c r="A11" s="4">
        <v>10</v>
      </c>
      <c r="B11" s="1" t="s">
        <v>12</v>
      </c>
      <c r="C11" s="22" t="s">
        <v>70</v>
      </c>
      <c r="D11" s="22"/>
      <c r="E11" s="22"/>
      <c r="F11" s="22"/>
      <c r="G11" s="22"/>
      <c r="H11" s="22"/>
      <c r="I11" s="22">
        <f t="shared" si="0"/>
        <v>0</v>
      </c>
    </row>
    <row r="12" spans="1:9" x14ac:dyDescent="0.25">
      <c r="A12" s="4">
        <v>11</v>
      </c>
      <c r="B12" s="1" t="s">
        <v>13</v>
      </c>
      <c r="C12" s="22" t="s">
        <v>70</v>
      </c>
      <c r="D12" s="22"/>
      <c r="E12" s="22"/>
      <c r="F12" s="22"/>
      <c r="G12" s="22"/>
      <c r="H12" s="22"/>
      <c r="I12" s="22">
        <f t="shared" si="0"/>
        <v>0</v>
      </c>
    </row>
    <row r="13" spans="1:9" x14ac:dyDescent="0.25">
      <c r="A13" s="4">
        <v>12</v>
      </c>
      <c r="B13" s="1" t="s">
        <v>145</v>
      </c>
      <c r="C13" s="22" t="s">
        <v>147</v>
      </c>
      <c r="D13" s="22"/>
      <c r="E13" s="22"/>
      <c r="F13" s="22"/>
      <c r="G13" s="22"/>
      <c r="H13" s="22"/>
      <c r="I13" s="22">
        <f t="shared" si="0"/>
        <v>0</v>
      </c>
    </row>
    <row r="14" spans="1:9" x14ac:dyDescent="0.25">
      <c r="A14" s="4">
        <v>13</v>
      </c>
      <c r="B14" s="5" t="s">
        <v>16</v>
      </c>
      <c r="C14" s="26">
        <v>41527</v>
      </c>
      <c r="D14" s="26">
        <v>41543</v>
      </c>
      <c r="E14" s="22"/>
      <c r="F14" s="22"/>
      <c r="G14" s="22">
        <f>D14-C14</f>
        <v>16</v>
      </c>
      <c r="H14" s="22"/>
      <c r="I14" s="22">
        <f t="shared" si="0"/>
        <v>16</v>
      </c>
    </row>
    <row r="15" spans="1:9" x14ac:dyDescent="0.25">
      <c r="A15" s="4">
        <v>14</v>
      </c>
      <c r="B15" s="5" t="s">
        <v>19</v>
      </c>
      <c r="C15" s="26">
        <v>41593</v>
      </c>
      <c r="D15" s="26">
        <v>41639</v>
      </c>
      <c r="E15" s="22"/>
      <c r="F15" s="22"/>
      <c r="G15" s="22">
        <f>D15-C15</f>
        <v>46</v>
      </c>
      <c r="H15" s="22"/>
      <c r="I15" s="22">
        <f t="shared" si="0"/>
        <v>46</v>
      </c>
    </row>
    <row r="16" spans="1:9" x14ac:dyDescent="0.25">
      <c r="A16" s="4">
        <v>15</v>
      </c>
      <c r="B16" s="6" t="s">
        <v>21</v>
      </c>
      <c r="C16" s="26">
        <v>41366</v>
      </c>
      <c r="D16" s="26">
        <v>41410</v>
      </c>
      <c r="E16" s="22"/>
      <c r="F16" s="22"/>
      <c r="G16" s="22">
        <f>D16-C16</f>
        <v>44</v>
      </c>
      <c r="H16" s="22"/>
      <c r="I16" s="22">
        <f t="shared" si="0"/>
        <v>44</v>
      </c>
    </row>
    <row r="17" spans="1:9" x14ac:dyDescent="0.25">
      <c r="A17" s="4">
        <v>16</v>
      </c>
      <c r="B17" s="6" t="s">
        <v>22</v>
      </c>
      <c r="C17" s="26">
        <v>41498</v>
      </c>
      <c r="D17" s="26">
        <v>41581</v>
      </c>
      <c r="E17" s="22"/>
      <c r="F17" s="22"/>
      <c r="G17" s="22">
        <f>D17-C17</f>
        <v>83</v>
      </c>
      <c r="H17" s="22"/>
      <c r="I17" s="22">
        <f t="shared" si="0"/>
        <v>83</v>
      </c>
    </row>
    <row r="18" spans="1:9" x14ac:dyDescent="0.25">
      <c r="A18" s="4">
        <v>17</v>
      </c>
      <c r="B18" s="6" t="s">
        <v>24</v>
      </c>
      <c r="C18" s="26">
        <v>41276</v>
      </c>
      <c r="D18" s="26">
        <v>41323</v>
      </c>
      <c r="E18" s="22"/>
      <c r="F18" s="22"/>
      <c r="G18" s="22">
        <f>D18-C18</f>
        <v>47</v>
      </c>
      <c r="H18" s="22"/>
      <c r="I18" s="22">
        <f t="shared" si="0"/>
        <v>47</v>
      </c>
    </row>
    <row r="19" spans="1:9" x14ac:dyDescent="0.25">
      <c r="A19" s="4">
        <v>18</v>
      </c>
      <c r="B19" s="6" t="s">
        <v>25</v>
      </c>
      <c r="C19" s="22" t="s">
        <v>70</v>
      </c>
      <c r="D19" s="22"/>
      <c r="E19" s="22"/>
      <c r="F19" s="22"/>
      <c r="G19" s="22"/>
      <c r="H19" s="22"/>
      <c r="I19" s="22">
        <f t="shared" si="0"/>
        <v>0</v>
      </c>
    </row>
    <row r="20" spans="1:9" x14ac:dyDescent="0.25">
      <c r="A20" s="4">
        <v>19</v>
      </c>
      <c r="B20" s="6" t="s">
        <v>26</v>
      </c>
      <c r="C20" s="22" t="s">
        <v>70</v>
      </c>
      <c r="E20" s="22"/>
      <c r="F20" s="22"/>
      <c r="H20" s="22"/>
      <c r="I20" s="22">
        <f t="shared" si="0"/>
        <v>0</v>
      </c>
    </row>
    <row r="21" spans="1:9" x14ac:dyDescent="0.25">
      <c r="A21" s="4">
        <v>20</v>
      </c>
      <c r="B21" s="6" t="s">
        <v>27</v>
      </c>
      <c r="C21" s="26">
        <v>41456</v>
      </c>
      <c r="D21" s="26">
        <v>41470</v>
      </c>
      <c r="E21" s="22"/>
      <c r="F21" s="22"/>
      <c r="G21" s="22">
        <f>D21-C21</f>
        <v>14</v>
      </c>
      <c r="H21" s="22"/>
      <c r="I21" s="22">
        <f t="shared" si="0"/>
        <v>14</v>
      </c>
    </row>
    <row r="22" spans="1:9" x14ac:dyDescent="0.25">
      <c r="A22" s="4">
        <v>21</v>
      </c>
      <c r="B22" s="6" t="s">
        <v>135</v>
      </c>
      <c r="C22" s="26">
        <v>41506</v>
      </c>
      <c r="D22" s="26">
        <v>41525</v>
      </c>
      <c r="E22" s="22"/>
      <c r="F22" s="22"/>
      <c r="G22" s="22">
        <f>D22-C22</f>
        <v>19</v>
      </c>
      <c r="H22" s="22"/>
      <c r="I22" s="22">
        <f t="shared" si="0"/>
        <v>19</v>
      </c>
    </row>
    <row r="23" spans="1:9" x14ac:dyDescent="0.25">
      <c r="A23" s="4">
        <v>22</v>
      </c>
      <c r="B23" s="6" t="s">
        <v>136</v>
      </c>
      <c r="C23" s="22" t="s">
        <v>70</v>
      </c>
      <c r="D23" s="22"/>
      <c r="E23" s="22"/>
      <c r="F23" s="22"/>
      <c r="G23" s="22"/>
      <c r="H23" s="22"/>
      <c r="I23" s="22">
        <f t="shared" si="0"/>
        <v>0</v>
      </c>
    </row>
    <row r="24" spans="1:9" x14ac:dyDescent="0.25">
      <c r="A24" s="4">
        <v>23</v>
      </c>
      <c r="B24" s="6" t="s">
        <v>137</v>
      </c>
      <c r="C24" s="22" t="s">
        <v>70</v>
      </c>
      <c r="D24" s="22"/>
      <c r="E24" s="22"/>
      <c r="F24" s="22"/>
      <c r="G24" s="22"/>
      <c r="H24" s="22"/>
      <c r="I24" s="22">
        <f t="shared" si="0"/>
        <v>0</v>
      </c>
    </row>
    <row r="25" spans="1:9" x14ac:dyDescent="0.25">
      <c r="A25" s="4">
        <v>24</v>
      </c>
      <c r="B25" s="6" t="s">
        <v>138</v>
      </c>
      <c r="C25" s="22" t="s">
        <v>70</v>
      </c>
      <c r="D25" s="22"/>
      <c r="E25" s="22"/>
      <c r="F25" s="22"/>
      <c r="G25" s="22"/>
      <c r="H25" s="22"/>
      <c r="I25" s="22">
        <f t="shared" si="0"/>
        <v>0</v>
      </c>
    </row>
    <row r="26" spans="1:9" x14ac:dyDescent="0.25">
      <c r="A26" s="4">
        <v>25</v>
      </c>
      <c r="B26" s="6" t="s">
        <v>139</v>
      </c>
      <c r="C26" s="22" t="s">
        <v>148</v>
      </c>
      <c r="D26" s="22"/>
      <c r="E26" s="22"/>
      <c r="F26" s="22"/>
      <c r="G26" s="22"/>
      <c r="H26" s="22"/>
      <c r="I26" s="22">
        <f t="shared" si="0"/>
        <v>0</v>
      </c>
    </row>
    <row r="27" spans="1:9" x14ac:dyDescent="0.25">
      <c r="A27" s="4">
        <v>26</v>
      </c>
      <c r="B27" s="6" t="s">
        <v>140</v>
      </c>
      <c r="C27" s="22" t="s">
        <v>148</v>
      </c>
      <c r="D27" s="22"/>
      <c r="E27" s="22"/>
      <c r="F27" s="22"/>
      <c r="G27" s="22"/>
      <c r="H27" s="22"/>
      <c r="I27" s="22">
        <f t="shared" si="0"/>
        <v>0</v>
      </c>
    </row>
    <row r="28" spans="1:9" x14ac:dyDescent="0.25">
      <c r="A28" s="4">
        <v>27</v>
      </c>
      <c r="B28" s="6" t="s">
        <v>142</v>
      </c>
      <c r="C28" s="22" t="s">
        <v>149</v>
      </c>
      <c r="D28" s="22"/>
      <c r="E28" s="22"/>
      <c r="F28" s="22"/>
      <c r="G28" s="22"/>
      <c r="H28" s="22"/>
      <c r="I28" s="22">
        <f t="shared" si="0"/>
        <v>0</v>
      </c>
    </row>
    <row r="29" spans="1:9" x14ac:dyDescent="0.25">
      <c r="A29" s="4">
        <v>28</v>
      </c>
      <c r="B29" s="6" t="s">
        <v>143</v>
      </c>
      <c r="C29" s="22" t="s">
        <v>147</v>
      </c>
      <c r="D29" s="22"/>
      <c r="E29" s="22"/>
      <c r="F29" s="22"/>
      <c r="G29" s="22"/>
      <c r="H29" s="22"/>
      <c r="I29" s="22">
        <f t="shared" si="0"/>
        <v>0</v>
      </c>
    </row>
    <row r="30" spans="1:9" x14ac:dyDescent="0.25">
      <c r="A30" s="4">
        <v>29</v>
      </c>
      <c r="B30" s="6" t="s">
        <v>144</v>
      </c>
      <c r="C30" s="22" t="s">
        <v>147</v>
      </c>
      <c r="D30" s="22"/>
      <c r="E30" s="22"/>
      <c r="F30" s="22"/>
      <c r="G30" s="22"/>
      <c r="H30" s="22"/>
      <c r="I30" s="22">
        <f t="shared" si="0"/>
        <v>0</v>
      </c>
    </row>
    <row r="31" spans="1:9" x14ac:dyDescent="0.25">
      <c r="A31" s="4">
        <v>30</v>
      </c>
      <c r="B31" s="6" t="s">
        <v>150</v>
      </c>
      <c r="C31" s="22" t="s">
        <v>151</v>
      </c>
      <c r="D31" s="22"/>
      <c r="E31" s="22"/>
      <c r="F31" s="22"/>
      <c r="G31" s="22"/>
      <c r="H31" s="22"/>
      <c r="I31" s="22">
        <f t="shared" si="0"/>
        <v>0</v>
      </c>
    </row>
    <row r="32" spans="1:9" x14ac:dyDescent="0.25">
      <c r="A32" s="4">
        <v>31</v>
      </c>
      <c r="B32" s="6" t="s">
        <v>152</v>
      </c>
      <c r="C32" s="33" t="s">
        <v>151</v>
      </c>
      <c r="D32" s="22"/>
      <c r="E32" s="22"/>
      <c r="F32" s="22"/>
      <c r="G32" s="22"/>
      <c r="H32" s="22"/>
      <c r="I32" s="22">
        <f t="shared" si="0"/>
        <v>0</v>
      </c>
    </row>
    <row r="33" spans="1:9" x14ac:dyDescent="0.25">
      <c r="A33" s="4">
        <v>32</v>
      </c>
      <c r="B33" s="6" t="s">
        <v>153</v>
      </c>
      <c r="C33" s="22" t="s">
        <v>155</v>
      </c>
      <c r="D33" s="22"/>
      <c r="E33" s="22"/>
      <c r="F33" s="22"/>
      <c r="G33" s="22"/>
      <c r="H33" s="22"/>
      <c r="I33" s="22">
        <f t="shared" si="0"/>
        <v>0</v>
      </c>
    </row>
    <row r="34" spans="1:9" x14ac:dyDescent="0.25">
      <c r="A34" s="4">
        <v>33</v>
      </c>
      <c r="B34" s="6" t="s">
        <v>154</v>
      </c>
      <c r="C34" s="22" t="s">
        <v>156</v>
      </c>
      <c r="D34" s="22"/>
      <c r="E34" s="22"/>
      <c r="F34" s="22"/>
      <c r="G34" s="22"/>
      <c r="H34" s="22"/>
      <c r="I34" s="22">
        <f t="shared" si="0"/>
        <v>0</v>
      </c>
    </row>
    <row r="35" spans="1:9" x14ac:dyDescent="0.25">
      <c r="A35" s="4">
        <v>34</v>
      </c>
      <c r="B35" s="2" t="s">
        <v>28</v>
      </c>
      <c r="C35" s="26">
        <v>41299</v>
      </c>
      <c r="D35" s="26">
        <v>41394</v>
      </c>
      <c r="E35" s="26">
        <v>41506</v>
      </c>
      <c r="F35" s="26">
        <v>41518</v>
      </c>
      <c r="G35" s="22">
        <f>D35-C35</f>
        <v>95</v>
      </c>
      <c r="H35" s="22">
        <f>F35-E35</f>
        <v>12</v>
      </c>
      <c r="I35" s="22">
        <f t="shared" si="0"/>
        <v>107</v>
      </c>
    </row>
    <row r="36" spans="1:9" x14ac:dyDescent="0.25">
      <c r="A36" s="4">
        <v>35</v>
      </c>
      <c r="B36" s="1" t="s">
        <v>29</v>
      </c>
      <c r="C36" s="22" t="s">
        <v>70</v>
      </c>
      <c r="D36" s="22"/>
      <c r="E36" s="22"/>
      <c r="F36" s="22"/>
      <c r="G36" s="22"/>
      <c r="H36" s="22"/>
      <c r="I36" s="22">
        <f t="shared" si="0"/>
        <v>0</v>
      </c>
    </row>
    <row r="37" spans="1:9" x14ac:dyDescent="0.25">
      <c r="A37" s="4">
        <v>36</v>
      </c>
      <c r="B37" s="1" t="s">
        <v>30</v>
      </c>
      <c r="C37" s="22" t="s">
        <v>70</v>
      </c>
      <c r="D37" s="22"/>
      <c r="E37" s="22"/>
      <c r="F37" s="22"/>
      <c r="G37" s="22"/>
      <c r="H37" s="22"/>
      <c r="I37" s="22">
        <f t="shared" si="0"/>
        <v>0</v>
      </c>
    </row>
    <row r="38" spans="1:9" x14ac:dyDescent="0.25">
      <c r="A38" s="4">
        <v>37</v>
      </c>
      <c r="B38" s="1" t="s">
        <v>31</v>
      </c>
      <c r="C38" s="26">
        <v>41334</v>
      </c>
      <c r="D38" s="26">
        <v>41408</v>
      </c>
      <c r="E38" s="22"/>
      <c r="F38" s="22"/>
      <c r="G38" s="22">
        <f>D38-C38</f>
        <v>74</v>
      </c>
      <c r="H38" s="22"/>
      <c r="I38" s="22">
        <f t="shared" si="0"/>
        <v>74</v>
      </c>
    </row>
    <row r="39" spans="1:9" x14ac:dyDescent="0.25">
      <c r="A39" s="4">
        <v>38</v>
      </c>
      <c r="B39" s="1" t="s">
        <v>32</v>
      </c>
      <c r="C39" s="22" t="s">
        <v>70</v>
      </c>
      <c r="D39" s="22"/>
      <c r="E39" s="22"/>
      <c r="F39" s="22"/>
      <c r="G39" s="22"/>
      <c r="H39" s="22"/>
      <c r="I39" s="22">
        <f t="shared" si="0"/>
        <v>0</v>
      </c>
    </row>
    <row r="40" spans="1:9" x14ac:dyDescent="0.25">
      <c r="A40" s="4">
        <v>39</v>
      </c>
      <c r="B40" s="1" t="s">
        <v>33</v>
      </c>
      <c r="C40" s="22" t="s">
        <v>70</v>
      </c>
      <c r="D40" s="22"/>
      <c r="E40" s="22"/>
      <c r="F40" s="22"/>
      <c r="G40" s="22"/>
      <c r="H40" s="22"/>
      <c r="I40" s="22">
        <f t="shared" si="0"/>
        <v>0</v>
      </c>
    </row>
    <row r="41" spans="1:9" x14ac:dyDescent="0.25">
      <c r="A41" s="4">
        <v>40</v>
      </c>
      <c r="B41" s="2" t="s">
        <v>34</v>
      </c>
      <c r="C41" s="26">
        <v>41279</v>
      </c>
      <c r="D41" s="26">
        <v>41368</v>
      </c>
      <c r="E41" s="22"/>
      <c r="F41" s="22"/>
      <c r="G41" s="22">
        <f>D41-C41</f>
        <v>89</v>
      </c>
      <c r="H41" s="22"/>
      <c r="I41" s="22">
        <f t="shared" si="0"/>
        <v>89</v>
      </c>
    </row>
    <row r="42" spans="1:9" x14ac:dyDescent="0.25">
      <c r="A42" s="4">
        <v>41</v>
      </c>
      <c r="B42" s="1" t="s">
        <v>35</v>
      </c>
      <c r="C42" s="22" t="s">
        <v>70</v>
      </c>
      <c r="D42" s="22"/>
      <c r="E42" s="22"/>
      <c r="F42" s="22"/>
      <c r="G42" s="22"/>
      <c r="H42" s="22"/>
      <c r="I42" s="22">
        <f t="shared" si="0"/>
        <v>0</v>
      </c>
    </row>
    <row r="43" spans="1:9" x14ac:dyDescent="0.25">
      <c r="A43" s="4">
        <v>42</v>
      </c>
      <c r="B43" s="5" t="s">
        <v>37</v>
      </c>
      <c r="C43" s="26">
        <v>41353</v>
      </c>
      <c r="D43" s="26">
        <v>41437</v>
      </c>
      <c r="E43" s="22"/>
      <c r="F43" s="22"/>
      <c r="G43" s="22">
        <f>D43-C43</f>
        <v>84</v>
      </c>
      <c r="H43" s="22"/>
      <c r="I43" s="22">
        <f t="shared" si="0"/>
        <v>84</v>
      </c>
    </row>
    <row r="44" spans="1:9" x14ac:dyDescent="0.25">
      <c r="A44" s="4">
        <v>43</v>
      </c>
      <c r="B44" s="5" t="s">
        <v>39</v>
      </c>
      <c r="C44" s="22" t="s">
        <v>70</v>
      </c>
      <c r="D44" s="22"/>
      <c r="E44" s="22"/>
      <c r="F44" s="22"/>
      <c r="G44" s="22"/>
      <c r="H44" s="22"/>
      <c r="I44" s="22">
        <f t="shared" si="0"/>
        <v>0</v>
      </c>
    </row>
    <row r="45" spans="1:9" x14ac:dyDescent="0.25">
      <c r="A45" s="4">
        <v>44</v>
      </c>
      <c r="B45" s="5" t="s">
        <v>157</v>
      </c>
      <c r="C45" s="26" t="s">
        <v>159</v>
      </c>
      <c r="D45" s="22"/>
      <c r="E45" s="22"/>
      <c r="F45" s="22"/>
      <c r="G45" s="22"/>
      <c r="H45" s="22"/>
      <c r="I45" s="22"/>
    </row>
    <row r="46" spans="1:9" x14ac:dyDescent="0.25">
      <c r="A46" s="4">
        <v>45</v>
      </c>
      <c r="B46" s="5" t="s">
        <v>158</v>
      </c>
      <c r="C46" s="26" t="s">
        <v>159</v>
      </c>
      <c r="D46" s="22"/>
      <c r="E46" s="22"/>
      <c r="F46" s="22"/>
      <c r="G46" s="22"/>
      <c r="H46" s="22"/>
      <c r="I46" s="22"/>
    </row>
    <row r="47" spans="1:9" x14ac:dyDescent="0.25">
      <c r="A47" s="4">
        <v>46</v>
      </c>
      <c r="B47" s="23" t="s">
        <v>40</v>
      </c>
      <c r="C47" s="26">
        <v>41423</v>
      </c>
      <c r="D47" s="26">
        <v>41442</v>
      </c>
      <c r="E47" s="22"/>
      <c r="F47" s="22"/>
      <c r="G47" s="22">
        <f>D47-C47</f>
        <v>19</v>
      </c>
      <c r="H47" s="22"/>
      <c r="I47" s="22">
        <f t="shared" si="0"/>
        <v>19</v>
      </c>
    </row>
    <row r="48" spans="1:9" x14ac:dyDescent="0.25">
      <c r="A48" s="4">
        <v>47</v>
      </c>
      <c r="B48" s="6" t="s">
        <v>42</v>
      </c>
      <c r="C48" s="22" t="s">
        <v>70</v>
      </c>
      <c r="D48" s="22"/>
      <c r="E48" s="22"/>
      <c r="F48" s="22"/>
      <c r="G48" s="22"/>
      <c r="H48" s="22"/>
      <c r="I48" s="22">
        <f t="shared" si="0"/>
        <v>0</v>
      </c>
    </row>
    <row r="49" spans="1:9" x14ac:dyDescent="0.25">
      <c r="A49" s="4">
        <v>48</v>
      </c>
      <c r="B49" s="1" t="s">
        <v>43</v>
      </c>
      <c r="C49" s="22" t="s">
        <v>70</v>
      </c>
      <c r="D49" s="22"/>
      <c r="E49" s="22"/>
      <c r="F49" s="22"/>
      <c r="G49" s="22"/>
      <c r="H49" s="22"/>
      <c r="I49" s="22">
        <f t="shared" si="0"/>
        <v>0</v>
      </c>
    </row>
    <row r="50" spans="1:9" x14ac:dyDescent="0.25">
      <c r="A50" s="4">
        <v>49</v>
      </c>
      <c r="B50" s="1" t="s">
        <v>44</v>
      </c>
      <c r="C50" s="22" t="s">
        <v>70</v>
      </c>
      <c r="D50" s="22"/>
      <c r="E50" s="22"/>
      <c r="F50" s="22"/>
      <c r="G50" s="22"/>
      <c r="H50" s="22"/>
      <c r="I50" s="22">
        <f t="shared" si="0"/>
        <v>0</v>
      </c>
    </row>
    <row r="51" spans="1:9" x14ac:dyDescent="0.25">
      <c r="A51" s="4">
        <v>50</v>
      </c>
      <c r="B51" s="1" t="s">
        <v>45</v>
      </c>
      <c r="C51" s="26">
        <v>41441</v>
      </c>
      <c r="D51" s="26">
        <v>41473</v>
      </c>
      <c r="E51" s="22"/>
      <c r="F51" s="22"/>
      <c r="G51" s="22">
        <f>D51-C51</f>
        <v>32</v>
      </c>
      <c r="H51" s="22"/>
      <c r="I51" s="22">
        <f t="shared" si="0"/>
        <v>32</v>
      </c>
    </row>
    <row r="52" spans="1:9" x14ac:dyDescent="0.25">
      <c r="A52" s="4">
        <v>51</v>
      </c>
      <c r="B52" s="1" t="s">
        <v>46</v>
      </c>
      <c r="C52" s="26">
        <v>41367</v>
      </c>
      <c r="D52" s="26">
        <v>41443</v>
      </c>
      <c r="E52" s="22"/>
      <c r="F52" s="22"/>
      <c r="G52" s="22">
        <f>D52-C52</f>
        <v>76</v>
      </c>
      <c r="H52" s="22"/>
      <c r="I52" s="22">
        <f t="shared" si="0"/>
        <v>76</v>
      </c>
    </row>
    <row r="53" spans="1:9" x14ac:dyDescent="0.25">
      <c r="A53" s="4">
        <v>52</v>
      </c>
      <c r="B53" s="1" t="s">
        <v>47</v>
      </c>
      <c r="C53" s="26">
        <v>41275</v>
      </c>
      <c r="D53" s="26">
        <v>41341</v>
      </c>
      <c r="E53" s="22"/>
      <c r="F53" s="22"/>
      <c r="G53" s="22">
        <f>D53-C53</f>
        <v>66</v>
      </c>
      <c r="H53" s="22"/>
      <c r="I53" s="22">
        <f t="shared" si="0"/>
        <v>66</v>
      </c>
    </row>
    <row r="54" spans="1:9" x14ac:dyDescent="0.25">
      <c r="A54" s="4">
        <v>53</v>
      </c>
      <c r="B54" s="1" t="s">
        <v>48</v>
      </c>
      <c r="C54" s="22" t="s">
        <v>70</v>
      </c>
      <c r="D54" s="22"/>
      <c r="E54" s="22"/>
      <c r="F54" s="22"/>
      <c r="G54" s="22"/>
      <c r="H54" s="22"/>
      <c r="I54" s="22">
        <f t="shared" si="0"/>
        <v>0</v>
      </c>
    </row>
    <row r="55" spans="1:9" x14ac:dyDescent="0.25">
      <c r="A55" s="4">
        <v>54</v>
      </c>
      <c r="B55" s="1" t="s">
        <v>49</v>
      </c>
      <c r="C55" s="26">
        <v>41275</v>
      </c>
      <c r="D55" s="26">
        <v>41294</v>
      </c>
      <c r="E55" s="22"/>
      <c r="F55" s="22"/>
      <c r="G55" s="22">
        <f>D55-C55</f>
        <v>19</v>
      </c>
      <c r="H55" s="22"/>
      <c r="I55" s="22">
        <f t="shared" si="0"/>
        <v>19</v>
      </c>
    </row>
    <row r="56" spans="1:9" x14ac:dyDescent="0.25">
      <c r="A56" s="4">
        <v>55</v>
      </c>
      <c r="B56" s="1" t="s">
        <v>50</v>
      </c>
      <c r="C56" s="26">
        <v>41357</v>
      </c>
      <c r="D56" s="26">
        <v>41404</v>
      </c>
      <c r="E56" s="22"/>
      <c r="F56" s="22"/>
      <c r="G56" s="22">
        <f>D56-C56</f>
        <v>47</v>
      </c>
      <c r="H56" s="22"/>
      <c r="I56" s="22">
        <f t="shared" si="0"/>
        <v>47</v>
      </c>
    </row>
    <row r="57" spans="1:9" x14ac:dyDescent="0.25">
      <c r="A57" s="4">
        <v>56</v>
      </c>
      <c r="B57" s="1" t="s">
        <v>51</v>
      </c>
      <c r="C57" s="22" t="s">
        <v>70</v>
      </c>
      <c r="D57" s="22"/>
      <c r="E57" s="22"/>
      <c r="F57" s="22"/>
      <c r="G57" s="22"/>
      <c r="H57" s="22"/>
      <c r="I57" s="22">
        <f t="shared" si="0"/>
        <v>0</v>
      </c>
    </row>
    <row r="58" spans="1:9" x14ac:dyDescent="0.25">
      <c r="A58" s="4">
        <v>57</v>
      </c>
      <c r="B58" s="6" t="s">
        <v>52</v>
      </c>
      <c r="C58" s="22" t="s">
        <v>70</v>
      </c>
      <c r="D58" s="22"/>
      <c r="E58" s="22"/>
      <c r="F58" s="22"/>
      <c r="G58" s="22"/>
      <c r="H58" s="22"/>
      <c r="I58" s="22">
        <f t="shared" si="0"/>
        <v>0</v>
      </c>
    </row>
    <row r="59" spans="1:9" x14ac:dyDescent="0.25">
      <c r="A59" s="4">
        <v>58</v>
      </c>
      <c r="B59" s="6" t="s">
        <v>53</v>
      </c>
      <c r="C59" s="22" t="s">
        <v>70</v>
      </c>
      <c r="D59" s="22"/>
      <c r="E59" s="22"/>
      <c r="F59" s="22"/>
      <c r="G59" s="22"/>
      <c r="H59" s="22"/>
      <c r="I59" s="22">
        <f t="shared" si="0"/>
        <v>0</v>
      </c>
    </row>
    <row r="60" spans="1:9" x14ac:dyDescent="0.25">
      <c r="A60" s="4">
        <v>59</v>
      </c>
      <c r="B60" s="6" t="s">
        <v>54</v>
      </c>
      <c r="C60" s="22" t="s">
        <v>70</v>
      </c>
      <c r="D60" s="22"/>
      <c r="E60" s="22"/>
      <c r="F60" s="22"/>
      <c r="G60" s="22"/>
      <c r="H60" s="22"/>
      <c r="I60" s="22">
        <f t="shared" si="0"/>
        <v>0</v>
      </c>
    </row>
    <row r="61" spans="1:9" x14ac:dyDescent="0.25">
      <c r="A61" s="4">
        <v>60</v>
      </c>
      <c r="B61" s="6" t="s">
        <v>55</v>
      </c>
      <c r="C61" s="22" t="s">
        <v>70</v>
      </c>
      <c r="D61" s="22"/>
      <c r="E61" s="22"/>
      <c r="F61" s="22"/>
      <c r="G61" s="22"/>
      <c r="H61" s="22"/>
      <c r="I61" s="22">
        <f>G61+H61</f>
        <v>0</v>
      </c>
    </row>
    <row r="62" spans="1:9" x14ac:dyDescent="0.25">
      <c r="A62" s="8"/>
      <c r="B62" s="10"/>
    </row>
    <row r="63" spans="1:9" x14ac:dyDescent="0.25">
      <c r="A63" s="8"/>
      <c r="B63" s="10"/>
    </row>
    <row r="69" spans="1:10" x14ac:dyDescent="0.25">
      <c r="A69" s="4">
        <v>5</v>
      </c>
      <c r="B69" s="6" t="s">
        <v>4</v>
      </c>
      <c r="C69" s="30">
        <v>41351</v>
      </c>
      <c r="D69" s="30">
        <v>41394</v>
      </c>
      <c r="G69">
        <f>D69-C69</f>
        <v>43</v>
      </c>
      <c r="I69">
        <f>G69+H69</f>
        <v>43</v>
      </c>
      <c r="J69" t="s">
        <v>146</v>
      </c>
    </row>
    <row r="70" spans="1:10" x14ac:dyDescent="0.25">
      <c r="A70" s="4">
        <v>46</v>
      </c>
      <c r="B70" s="1" t="s">
        <v>36</v>
      </c>
      <c r="I70">
        <f>G70+H70</f>
        <v>0</v>
      </c>
    </row>
    <row r="71" spans="1:10" x14ac:dyDescent="0.25">
      <c r="A71" s="4">
        <v>48</v>
      </c>
      <c r="B71" s="5" t="s">
        <v>38</v>
      </c>
      <c r="I71">
        <f>G71+H71</f>
        <v>0</v>
      </c>
    </row>
    <row r="72" spans="1:10" x14ac:dyDescent="0.25">
      <c r="A72" s="4">
        <v>14</v>
      </c>
      <c r="B72" s="1" t="s">
        <v>14</v>
      </c>
      <c r="I72">
        <f>G72+H72</f>
        <v>0</v>
      </c>
    </row>
    <row r="73" spans="1:10" x14ac:dyDescent="0.25">
      <c r="A73" s="4">
        <v>15</v>
      </c>
      <c r="B73" s="5" t="s">
        <v>15</v>
      </c>
      <c r="C73" t="s">
        <v>141</v>
      </c>
      <c r="I73">
        <f>G73+H73</f>
        <v>0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6"/>
  <sheetViews>
    <sheetView workbookViewId="0">
      <selection activeCell="B7" sqref="B7"/>
    </sheetView>
  </sheetViews>
  <sheetFormatPr defaultRowHeight="15" x14ac:dyDescent="0.25"/>
  <cols>
    <col min="2" max="2" width="35.42578125" style="24" bestFit="1" customWidth="1"/>
    <col min="3" max="6" width="10.7109375" bestFit="1" customWidth="1"/>
    <col min="9" max="9" width="6.5703125" bestFit="1" customWidth="1"/>
  </cols>
  <sheetData>
    <row r="1" spans="1:9" x14ac:dyDescent="0.25">
      <c r="A1" s="19"/>
      <c r="B1" s="25"/>
    </row>
    <row r="2" spans="1:9" x14ac:dyDescent="0.25">
      <c r="A2" s="3" t="s">
        <v>125</v>
      </c>
      <c r="B2" s="9" t="s">
        <v>126</v>
      </c>
      <c r="C2" s="153" t="s">
        <v>134</v>
      </c>
      <c r="D2" s="153"/>
      <c r="E2" s="153" t="s">
        <v>128</v>
      </c>
      <c r="F2" s="153"/>
      <c r="G2" s="22" t="s">
        <v>129</v>
      </c>
      <c r="H2" s="22" t="s">
        <v>129</v>
      </c>
      <c r="I2" s="22" t="s">
        <v>72</v>
      </c>
    </row>
    <row r="3" spans="1:9" x14ac:dyDescent="0.25">
      <c r="A3" s="4">
        <v>1</v>
      </c>
      <c r="B3" s="6" t="s">
        <v>0</v>
      </c>
      <c r="C3" s="26">
        <v>41153</v>
      </c>
      <c r="D3" s="26">
        <v>41170</v>
      </c>
      <c r="E3" s="22"/>
      <c r="F3" s="22"/>
      <c r="G3" s="22">
        <f>D3-C3</f>
        <v>17</v>
      </c>
      <c r="H3" s="22"/>
      <c r="I3" s="22">
        <f>G3+H3</f>
        <v>17</v>
      </c>
    </row>
    <row r="4" spans="1:9" x14ac:dyDescent="0.25">
      <c r="A4" s="4">
        <v>2</v>
      </c>
      <c r="B4" s="6" t="s">
        <v>1</v>
      </c>
      <c r="C4" s="26">
        <v>41225</v>
      </c>
      <c r="D4" s="26">
        <v>41237</v>
      </c>
      <c r="E4" s="22"/>
      <c r="F4" s="22"/>
      <c r="G4" s="22">
        <f>D4-C4</f>
        <v>12</v>
      </c>
      <c r="H4" s="22"/>
      <c r="I4" s="22">
        <f t="shared" ref="I4:I53" si="0">G4+H4</f>
        <v>12</v>
      </c>
    </row>
    <row r="5" spans="1:9" x14ac:dyDescent="0.25">
      <c r="A5" s="4">
        <v>3</v>
      </c>
      <c r="B5" s="5" t="s">
        <v>2</v>
      </c>
      <c r="C5" s="26">
        <v>40909</v>
      </c>
      <c r="D5" s="26">
        <v>40919</v>
      </c>
      <c r="E5" s="26">
        <v>41196</v>
      </c>
      <c r="F5" s="26">
        <v>41258</v>
      </c>
      <c r="G5" s="22">
        <f>D5-C5</f>
        <v>10</v>
      </c>
      <c r="H5" s="22">
        <f>F5-E5</f>
        <v>62</v>
      </c>
      <c r="I5" s="22">
        <f t="shared" si="0"/>
        <v>72</v>
      </c>
    </row>
    <row r="6" spans="1:9" x14ac:dyDescent="0.25">
      <c r="A6" s="4">
        <v>4</v>
      </c>
      <c r="B6" s="5" t="s">
        <v>3</v>
      </c>
      <c r="C6" s="26">
        <v>41115</v>
      </c>
      <c r="D6" s="26">
        <v>41171</v>
      </c>
      <c r="E6" s="22"/>
      <c r="F6" s="22"/>
      <c r="G6" s="22">
        <f>D6-C6</f>
        <v>56</v>
      </c>
      <c r="H6" s="22"/>
      <c r="I6" s="22">
        <f t="shared" si="0"/>
        <v>56</v>
      </c>
    </row>
    <row r="7" spans="1:9" x14ac:dyDescent="0.25">
      <c r="A7" s="4">
        <v>6</v>
      </c>
      <c r="B7" s="6" t="s">
        <v>5</v>
      </c>
      <c r="C7" s="150" t="s">
        <v>70</v>
      </c>
      <c r="D7" s="150"/>
      <c r="E7" s="22"/>
      <c r="F7" s="22"/>
      <c r="G7" s="22">
        <v>0</v>
      </c>
      <c r="H7" s="22"/>
      <c r="I7" s="22">
        <f t="shared" si="0"/>
        <v>0</v>
      </c>
    </row>
    <row r="8" spans="1:9" x14ac:dyDescent="0.25">
      <c r="A8" s="4">
        <v>7</v>
      </c>
      <c r="B8" s="2" t="s">
        <v>6</v>
      </c>
      <c r="C8" s="26">
        <v>41000</v>
      </c>
      <c r="D8" s="26">
        <v>41005</v>
      </c>
      <c r="E8" s="22"/>
      <c r="F8" s="22"/>
      <c r="G8" s="22">
        <f>D8-C8</f>
        <v>5</v>
      </c>
      <c r="H8" s="22"/>
      <c r="I8" s="22">
        <f t="shared" si="0"/>
        <v>5</v>
      </c>
    </row>
    <row r="9" spans="1:9" x14ac:dyDescent="0.25">
      <c r="A9" s="4">
        <v>8</v>
      </c>
      <c r="B9" s="6" t="s">
        <v>7</v>
      </c>
      <c r="C9" s="150" t="s">
        <v>70</v>
      </c>
      <c r="D9" s="150"/>
      <c r="E9" s="22"/>
      <c r="F9" s="22"/>
      <c r="G9" s="22">
        <v>0</v>
      </c>
      <c r="H9" s="22"/>
      <c r="I9" s="22">
        <f t="shared" si="0"/>
        <v>0</v>
      </c>
    </row>
    <row r="10" spans="1:9" x14ac:dyDescent="0.25">
      <c r="A10" s="4">
        <v>9</v>
      </c>
      <c r="B10" s="1" t="s">
        <v>8</v>
      </c>
      <c r="C10" s="26">
        <v>40909</v>
      </c>
      <c r="D10" s="26">
        <v>40967</v>
      </c>
      <c r="E10" s="26">
        <v>41267</v>
      </c>
      <c r="F10" s="26">
        <v>41274</v>
      </c>
      <c r="G10" s="22">
        <f t="shared" ref="G10:G15" si="1">D10-C10</f>
        <v>58</v>
      </c>
      <c r="H10" s="22">
        <f>F10-E10</f>
        <v>7</v>
      </c>
      <c r="I10" s="22">
        <f t="shared" si="0"/>
        <v>65</v>
      </c>
    </row>
    <row r="11" spans="1:9" x14ac:dyDescent="0.25">
      <c r="A11" s="4">
        <v>10</v>
      </c>
      <c r="B11" s="5" t="s">
        <v>9</v>
      </c>
      <c r="C11" s="26">
        <v>41061</v>
      </c>
      <c r="D11" s="26">
        <v>41140</v>
      </c>
      <c r="E11" s="22"/>
      <c r="F11" s="22"/>
      <c r="G11" s="22">
        <f t="shared" si="1"/>
        <v>79</v>
      </c>
      <c r="H11" s="22"/>
      <c r="I11" s="22">
        <f t="shared" si="0"/>
        <v>79</v>
      </c>
    </row>
    <row r="12" spans="1:9" x14ac:dyDescent="0.25">
      <c r="A12" s="4">
        <v>11</v>
      </c>
      <c r="B12" s="7" t="s">
        <v>10</v>
      </c>
      <c r="C12" s="26">
        <v>41239</v>
      </c>
      <c r="D12" s="26">
        <v>41253</v>
      </c>
      <c r="E12" s="22"/>
      <c r="F12" s="22"/>
      <c r="G12" s="22">
        <f t="shared" si="1"/>
        <v>14</v>
      </c>
      <c r="H12" s="22"/>
      <c r="I12" s="22">
        <f t="shared" si="0"/>
        <v>14</v>
      </c>
    </row>
    <row r="13" spans="1:9" x14ac:dyDescent="0.25">
      <c r="A13" s="4">
        <v>12</v>
      </c>
      <c r="B13" s="6" t="s">
        <v>11</v>
      </c>
      <c r="C13" s="26">
        <v>40909</v>
      </c>
      <c r="D13" s="26">
        <v>40922</v>
      </c>
      <c r="E13" s="22"/>
      <c r="F13" s="22"/>
      <c r="G13" s="22">
        <f t="shared" si="1"/>
        <v>13</v>
      </c>
      <c r="H13" s="22"/>
      <c r="I13" s="22">
        <f t="shared" si="0"/>
        <v>13</v>
      </c>
    </row>
    <row r="14" spans="1:9" x14ac:dyDescent="0.25">
      <c r="A14" s="4">
        <v>13</v>
      </c>
      <c r="B14" s="1" t="s">
        <v>12</v>
      </c>
      <c r="C14" s="26">
        <v>41103</v>
      </c>
      <c r="D14" s="26">
        <v>41137</v>
      </c>
      <c r="E14" s="22"/>
      <c r="F14" s="22"/>
      <c r="G14" s="22">
        <f t="shared" si="1"/>
        <v>34</v>
      </c>
      <c r="H14" s="22"/>
      <c r="I14" s="22">
        <f t="shared" si="0"/>
        <v>34</v>
      </c>
    </row>
    <row r="15" spans="1:9" x14ac:dyDescent="0.25">
      <c r="A15" s="4">
        <v>14</v>
      </c>
      <c r="B15" s="1" t="s">
        <v>13</v>
      </c>
      <c r="C15" s="26">
        <v>40909</v>
      </c>
      <c r="D15" s="26">
        <v>40971</v>
      </c>
      <c r="E15" s="26">
        <v>41091</v>
      </c>
      <c r="F15" s="26">
        <v>41095</v>
      </c>
      <c r="G15" s="22">
        <f t="shared" si="1"/>
        <v>62</v>
      </c>
      <c r="H15" s="22">
        <f>F15-E15</f>
        <v>4</v>
      </c>
      <c r="I15" s="22">
        <f t="shared" si="0"/>
        <v>66</v>
      </c>
    </row>
    <row r="16" spans="1:9" x14ac:dyDescent="0.25">
      <c r="A16" s="4">
        <v>17</v>
      </c>
      <c r="B16" s="5" t="s">
        <v>16</v>
      </c>
      <c r="C16" s="26">
        <v>41072</v>
      </c>
      <c r="D16" s="26">
        <v>41140</v>
      </c>
      <c r="E16" s="22"/>
      <c r="F16" s="22"/>
      <c r="G16" s="22">
        <f t="shared" ref="G16:G53" si="2">D16-C16</f>
        <v>68</v>
      </c>
      <c r="H16" s="22"/>
      <c r="I16" s="22">
        <f t="shared" si="0"/>
        <v>68</v>
      </c>
    </row>
    <row r="17" spans="1:9" x14ac:dyDescent="0.25">
      <c r="A17" s="4">
        <v>18</v>
      </c>
      <c r="B17" s="1" t="s">
        <v>17</v>
      </c>
      <c r="C17" s="26">
        <v>41051</v>
      </c>
      <c r="D17" s="26">
        <v>41114</v>
      </c>
      <c r="E17" s="26">
        <v>41122</v>
      </c>
      <c r="F17" s="26">
        <v>41170</v>
      </c>
      <c r="G17" s="22">
        <f t="shared" si="2"/>
        <v>63</v>
      </c>
      <c r="H17" s="22">
        <f>F17-E17</f>
        <v>48</v>
      </c>
      <c r="I17" s="22">
        <f t="shared" si="0"/>
        <v>111</v>
      </c>
    </row>
    <row r="18" spans="1:9" x14ac:dyDescent="0.25">
      <c r="A18" s="4">
        <v>19</v>
      </c>
      <c r="B18" s="1" t="s">
        <v>18</v>
      </c>
      <c r="C18" s="26">
        <v>41000</v>
      </c>
      <c r="D18" s="26">
        <v>41062</v>
      </c>
      <c r="E18" s="22" t="s">
        <v>133</v>
      </c>
      <c r="F18" s="22"/>
      <c r="G18" s="22">
        <f t="shared" si="2"/>
        <v>62</v>
      </c>
      <c r="H18" s="22"/>
      <c r="I18" s="22">
        <f t="shared" si="0"/>
        <v>62</v>
      </c>
    </row>
    <row r="19" spans="1:9" x14ac:dyDescent="0.25">
      <c r="A19" s="4">
        <v>20</v>
      </c>
      <c r="B19" s="5" t="s">
        <v>19</v>
      </c>
      <c r="C19" s="26">
        <v>41147</v>
      </c>
      <c r="D19" s="26">
        <v>41192</v>
      </c>
      <c r="E19" s="22"/>
      <c r="F19" s="22"/>
      <c r="G19" s="22">
        <f t="shared" si="2"/>
        <v>45</v>
      </c>
      <c r="H19" s="22"/>
      <c r="I19" s="22">
        <f t="shared" si="0"/>
        <v>45</v>
      </c>
    </row>
    <row r="20" spans="1:9" x14ac:dyDescent="0.25">
      <c r="A20" s="4">
        <v>21</v>
      </c>
      <c r="B20" s="5" t="s">
        <v>20</v>
      </c>
      <c r="C20" s="26">
        <v>40940</v>
      </c>
      <c r="D20" s="26">
        <v>40952</v>
      </c>
      <c r="E20" s="22"/>
      <c r="F20" s="22"/>
      <c r="G20" s="22">
        <f t="shared" si="2"/>
        <v>12</v>
      </c>
      <c r="H20" s="22"/>
      <c r="I20" s="22">
        <f t="shared" si="0"/>
        <v>12</v>
      </c>
    </row>
    <row r="21" spans="1:9" x14ac:dyDescent="0.25">
      <c r="A21" s="4">
        <v>22</v>
      </c>
      <c r="B21" s="6" t="s">
        <v>21</v>
      </c>
      <c r="C21" s="26">
        <v>41000</v>
      </c>
      <c r="D21" s="26">
        <v>41040</v>
      </c>
      <c r="E21" s="22"/>
      <c r="F21" s="22"/>
      <c r="G21" s="22">
        <f t="shared" si="2"/>
        <v>40</v>
      </c>
      <c r="H21" s="22"/>
      <c r="I21" s="22">
        <f t="shared" si="0"/>
        <v>40</v>
      </c>
    </row>
    <row r="22" spans="1:9" x14ac:dyDescent="0.25">
      <c r="A22" s="4">
        <v>23</v>
      </c>
      <c r="B22" s="6" t="s">
        <v>22</v>
      </c>
      <c r="C22" s="150" t="s">
        <v>70</v>
      </c>
      <c r="D22" s="150"/>
      <c r="E22" s="22"/>
      <c r="F22" s="22"/>
      <c r="G22" s="22">
        <v>0</v>
      </c>
      <c r="H22" s="22"/>
      <c r="I22" s="22">
        <f t="shared" si="0"/>
        <v>0</v>
      </c>
    </row>
    <row r="23" spans="1:9" x14ac:dyDescent="0.25">
      <c r="A23" s="4">
        <v>24</v>
      </c>
      <c r="B23" s="6" t="s">
        <v>23</v>
      </c>
      <c r="C23" s="26">
        <v>41202</v>
      </c>
      <c r="D23" s="26">
        <v>41218</v>
      </c>
      <c r="E23" s="22"/>
      <c r="F23" s="22"/>
      <c r="G23" s="22">
        <f t="shared" si="2"/>
        <v>16</v>
      </c>
      <c r="H23" s="22"/>
      <c r="I23" s="22">
        <f t="shared" si="0"/>
        <v>16</v>
      </c>
    </row>
    <row r="24" spans="1:9" x14ac:dyDescent="0.25">
      <c r="A24" s="4">
        <v>25</v>
      </c>
      <c r="B24" s="6" t="s">
        <v>24</v>
      </c>
      <c r="C24" s="150" t="s">
        <v>70</v>
      </c>
      <c r="D24" s="150"/>
      <c r="E24" s="22"/>
      <c r="F24" s="22"/>
      <c r="G24" s="22">
        <v>0</v>
      </c>
      <c r="H24" s="22"/>
      <c r="I24" s="22">
        <f t="shared" si="0"/>
        <v>0</v>
      </c>
    </row>
    <row r="25" spans="1:9" x14ac:dyDescent="0.25">
      <c r="A25" s="4">
        <v>26</v>
      </c>
      <c r="B25" s="6" t="s">
        <v>25</v>
      </c>
      <c r="C25" s="22" t="s">
        <v>124</v>
      </c>
      <c r="D25" s="22"/>
      <c r="E25" s="22"/>
      <c r="F25" s="22"/>
      <c r="G25" s="22">
        <v>0</v>
      </c>
      <c r="H25" s="22"/>
      <c r="I25" s="22">
        <f t="shared" si="0"/>
        <v>0</v>
      </c>
    </row>
    <row r="26" spans="1:9" x14ac:dyDescent="0.25">
      <c r="A26" s="4">
        <v>27</v>
      </c>
      <c r="B26" s="6" t="s">
        <v>26</v>
      </c>
      <c r="C26" s="22" t="s">
        <v>119</v>
      </c>
      <c r="D26" s="22"/>
      <c r="E26" s="22"/>
      <c r="F26" s="22"/>
      <c r="G26" s="22">
        <v>0</v>
      </c>
      <c r="H26" s="22"/>
      <c r="I26" s="22">
        <f t="shared" si="0"/>
        <v>0</v>
      </c>
    </row>
    <row r="27" spans="1:9" x14ac:dyDescent="0.25">
      <c r="A27" s="4">
        <v>28</v>
      </c>
      <c r="B27" s="6" t="s">
        <v>27</v>
      </c>
      <c r="C27" s="22" t="s">
        <v>120</v>
      </c>
      <c r="D27" s="22"/>
      <c r="E27" s="22"/>
      <c r="F27" s="22"/>
      <c r="G27" s="22">
        <v>0</v>
      </c>
      <c r="H27" s="22"/>
      <c r="I27" s="22">
        <f t="shared" si="0"/>
        <v>0</v>
      </c>
    </row>
    <row r="28" spans="1:9" x14ac:dyDescent="0.25">
      <c r="A28" s="4">
        <v>29</v>
      </c>
      <c r="B28" s="2" t="s">
        <v>28</v>
      </c>
      <c r="C28" s="26">
        <v>41000</v>
      </c>
      <c r="D28" s="26">
        <v>41074</v>
      </c>
      <c r="E28" s="22"/>
      <c r="F28" s="22"/>
      <c r="G28" s="22">
        <f t="shared" si="2"/>
        <v>74</v>
      </c>
      <c r="H28" s="22"/>
      <c r="I28" s="22">
        <f t="shared" si="0"/>
        <v>74</v>
      </c>
    </row>
    <row r="29" spans="1:9" x14ac:dyDescent="0.25">
      <c r="A29" s="4">
        <v>30</v>
      </c>
      <c r="B29" s="1" t="s">
        <v>29</v>
      </c>
      <c r="C29" s="26">
        <v>41228</v>
      </c>
      <c r="D29" s="26">
        <v>41257</v>
      </c>
      <c r="E29" s="22"/>
      <c r="F29" s="22"/>
      <c r="G29" s="22">
        <f t="shared" si="2"/>
        <v>29</v>
      </c>
      <c r="H29" s="22"/>
      <c r="I29" s="22">
        <f t="shared" si="0"/>
        <v>29</v>
      </c>
    </row>
    <row r="30" spans="1:9" x14ac:dyDescent="0.25">
      <c r="A30" s="4">
        <v>31</v>
      </c>
      <c r="B30" s="1" t="s">
        <v>30</v>
      </c>
      <c r="C30" s="26">
        <v>41153</v>
      </c>
      <c r="D30" s="26">
        <v>41220</v>
      </c>
      <c r="E30" s="22"/>
      <c r="F30" s="22"/>
      <c r="G30" s="22">
        <f t="shared" si="2"/>
        <v>67</v>
      </c>
      <c r="H30" s="22"/>
      <c r="I30" s="22">
        <f t="shared" si="0"/>
        <v>67</v>
      </c>
    </row>
    <row r="31" spans="1:9" x14ac:dyDescent="0.25">
      <c r="A31" s="4">
        <v>32</v>
      </c>
      <c r="B31" s="1" t="s">
        <v>31</v>
      </c>
      <c r="C31" s="150" t="s">
        <v>70</v>
      </c>
      <c r="D31" s="150"/>
      <c r="E31" s="22"/>
      <c r="F31" s="22"/>
      <c r="G31" s="22">
        <v>0</v>
      </c>
      <c r="H31" s="22"/>
      <c r="I31" s="22">
        <f t="shared" si="0"/>
        <v>0</v>
      </c>
    </row>
    <row r="32" spans="1:9" x14ac:dyDescent="0.25">
      <c r="A32" s="4">
        <v>33</v>
      </c>
      <c r="B32" s="1" t="s">
        <v>32</v>
      </c>
      <c r="C32" s="150" t="s">
        <v>70</v>
      </c>
      <c r="D32" s="150"/>
      <c r="E32" s="22"/>
      <c r="F32" s="22"/>
      <c r="G32" s="22">
        <v>0</v>
      </c>
      <c r="H32" s="22"/>
      <c r="I32" s="22">
        <f t="shared" si="0"/>
        <v>0</v>
      </c>
    </row>
    <row r="33" spans="1:9" x14ac:dyDescent="0.25">
      <c r="A33" s="4">
        <v>34</v>
      </c>
      <c r="B33" s="1" t="s">
        <v>33</v>
      </c>
      <c r="C33" s="22" t="s">
        <v>77</v>
      </c>
      <c r="D33" s="26"/>
      <c r="E33" s="22"/>
      <c r="F33" s="22"/>
      <c r="G33" s="22">
        <v>0</v>
      </c>
      <c r="H33" s="22"/>
      <c r="I33" s="22">
        <f t="shared" si="0"/>
        <v>0</v>
      </c>
    </row>
    <row r="34" spans="1:9" x14ac:dyDescent="0.25">
      <c r="A34" s="4">
        <v>35</v>
      </c>
      <c r="B34" s="2" t="s">
        <v>34</v>
      </c>
      <c r="C34" s="150" t="s">
        <v>70</v>
      </c>
      <c r="D34" s="150"/>
      <c r="E34" s="22"/>
      <c r="F34" s="22"/>
      <c r="G34" s="22">
        <v>0</v>
      </c>
      <c r="H34" s="22"/>
      <c r="I34" s="22">
        <f t="shared" si="0"/>
        <v>0</v>
      </c>
    </row>
    <row r="35" spans="1:9" x14ac:dyDescent="0.25">
      <c r="A35" s="4">
        <v>36</v>
      </c>
      <c r="B35" s="1" t="s">
        <v>35</v>
      </c>
      <c r="C35" s="150" t="s">
        <v>70</v>
      </c>
      <c r="D35" s="150"/>
      <c r="E35" s="22"/>
      <c r="F35" s="22"/>
      <c r="G35" s="22">
        <v>0</v>
      </c>
      <c r="H35" s="22"/>
      <c r="I35" s="22">
        <f t="shared" si="0"/>
        <v>0</v>
      </c>
    </row>
    <row r="36" spans="1:9" x14ac:dyDescent="0.25">
      <c r="A36" s="4">
        <v>38</v>
      </c>
      <c r="B36" s="5" t="s">
        <v>37</v>
      </c>
      <c r="C36" s="150" t="s">
        <v>70</v>
      </c>
      <c r="D36" s="150"/>
      <c r="E36" s="22"/>
      <c r="F36" s="22"/>
      <c r="G36" s="22">
        <v>0</v>
      </c>
      <c r="H36" s="22"/>
      <c r="I36" s="22">
        <f t="shared" si="0"/>
        <v>0</v>
      </c>
    </row>
    <row r="37" spans="1:9" x14ac:dyDescent="0.25">
      <c r="A37" s="4">
        <v>40</v>
      </c>
      <c r="B37" s="5" t="s">
        <v>39</v>
      </c>
      <c r="C37" s="22" t="s">
        <v>122</v>
      </c>
      <c r="D37" s="22"/>
      <c r="E37" s="22"/>
      <c r="F37" s="22"/>
      <c r="G37" s="22">
        <v>0</v>
      </c>
      <c r="H37" s="22"/>
      <c r="I37" s="22">
        <f t="shared" si="0"/>
        <v>0</v>
      </c>
    </row>
    <row r="38" spans="1:9" x14ac:dyDescent="0.25">
      <c r="A38" s="4">
        <v>41</v>
      </c>
      <c r="B38" s="23" t="s">
        <v>40</v>
      </c>
      <c r="C38" s="26">
        <v>41073</v>
      </c>
      <c r="D38" s="26">
        <v>41141</v>
      </c>
      <c r="E38" s="22"/>
      <c r="F38" s="22"/>
      <c r="G38" s="22">
        <f t="shared" si="2"/>
        <v>68</v>
      </c>
      <c r="H38" s="22"/>
      <c r="I38" s="22">
        <f t="shared" si="0"/>
        <v>68</v>
      </c>
    </row>
    <row r="39" spans="1:9" x14ac:dyDescent="0.25">
      <c r="A39" s="4">
        <v>42</v>
      </c>
      <c r="B39" s="1" t="s">
        <v>41</v>
      </c>
      <c r="C39" s="150" t="s">
        <v>70</v>
      </c>
      <c r="D39" s="150"/>
      <c r="E39" s="22"/>
      <c r="F39" s="22"/>
      <c r="G39" s="22">
        <v>0</v>
      </c>
      <c r="H39" s="22"/>
      <c r="I39" s="22">
        <f t="shared" si="0"/>
        <v>0</v>
      </c>
    </row>
    <row r="40" spans="1:9" x14ac:dyDescent="0.25">
      <c r="A40" s="4">
        <v>43</v>
      </c>
      <c r="B40" s="6" t="s">
        <v>42</v>
      </c>
      <c r="C40" s="150" t="s">
        <v>70</v>
      </c>
      <c r="D40" s="150"/>
      <c r="E40" s="22"/>
      <c r="F40" s="22"/>
      <c r="G40" s="22">
        <v>0</v>
      </c>
      <c r="H40" s="22"/>
      <c r="I40" s="22">
        <f t="shared" si="0"/>
        <v>0</v>
      </c>
    </row>
    <row r="41" spans="1:9" x14ac:dyDescent="0.25">
      <c r="A41" s="4">
        <v>44</v>
      </c>
      <c r="B41" s="1" t="s">
        <v>43</v>
      </c>
      <c r="C41" s="26">
        <v>41122</v>
      </c>
      <c r="D41" s="26">
        <v>41211</v>
      </c>
      <c r="E41" s="22"/>
      <c r="F41" s="22"/>
      <c r="G41" s="22">
        <f t="shared" si="2"/>
        <v>89</v>
      </c>
      <c r="H41" s="22"/>
      <c r="I41" s="22">
        <f t="shared" si="0"/>
        <v>89</v>
      </c>
    </row>
    <row r="42" spans="1:9" x14ac:dyDescent="0.25">
      <c r="A42" s="4">
        <v>45</v>
      </c>
      <c r="B42" s="1" t="s">
        <v>44</v>
      </c>
      <c r="C42" s="150" t="s">
        <v>70</v>
      </c>
      <c r="D42" s="150"/>
      <c r="E42" s="22"/>
      <c r="F42" s="22"/>
      <c r="G42" s="22">
        <v>0</v>
      </c>
      <c r="H42" s="22"/>
      <c r="I42" s="22">
        <f t="shared" si="0"/>
        <v>0</v>
      </c>
    </row>
    <row r="43" spans="1:9" x14ac:dyDescent="0.25">
      <c r="A43" s="4">
        <v>46</v>
      </c>
      <c r="B43" s="1" t="s">
        <v>45</v>
      </c>
      <c r="C43" s="150" t="s">
        <v>70</v>
      </c>
      <c r="D43" s="150"/>
      <c r="E43" s="22"/>
      <c r="F43" s="22"/>
      <c r="G43" s="22">
        <v>0</v>
      </c>
      <c r="H43" s="22"/>
      <c r="I43" s="22">
        <f t="shared" si="0"/>
        <v>0</v>
      </c>
    </row>
    <row r="44" spans="1:9" x14ac:dyDescent="0.25">
      <c r="A44" s="4">
        <v>47</v>
      </c>
      <c r="B44" s="1" t="s">
        <v>46</v>
      </c>
      <c r="C44" s="150" t="s">
        <v>70</v>
      </c>
      <c r="D44" s="150"/>
      <c r="E44" s="22"/>
      <c r="F44" s="22"/>
      <c r="G44" s="22">
        <v>0</v>
      </c>
      <c r="H44" s="22"/>
      <c r="I44" s="22">
        <f t="shared" si="0"/>
        <v>0</v>
      </c>
    </row>
    <row r="45" spans="1:9" x14ac:dyDescent="0.25">
      <c r="A45" s="4">
        <v>48</v>
      </c>
      <c r="B45" s="1" t="s">
        <v>47</v>
      </c>
      <c r="C45" s="26">
        <v>40909</v>
      </c>
      <c r="D45" s="26">
        <v>40957</v>
      </c>
      <c r="E45" s="26">
        <v>41227</v>
      </c>
      <c r="F45" s="26">
        <v>41274</v>
      </c>
      <c r="G45" s="22">
        <f t="shared" si="2"/>
        <v>48</v>
      </c>
      <c r="H45" s="22">
        <f>F45-E45</f>
        <v>47</v>
      </c>
      <c r="I45" s="22">
        <f t="shared" si="0"/>
        <v>95</v>
      </c>
    </row>
    <row r="46" spans="1:9" x14ac:dyDescent="0.25">
      <c r="A46" s="4">
        <v>49</v>
      </c>
      <c r="B46" s="1" t="s">
        <v>48</v>
      </c>
      <c r="C46" s="26">
        <v>41030</v>
      </c>
      <c r="D46" s="26">
        <v>41144</v>
      </c>
      <c r="E46" s="22"/>
      <c r="F46" s="22"/>
      <c r="G46" s="22">
        <f t="shared" si="2"/>
        <v>114</v>
      </c>
      <c r="H46" s="22"/>
      <c r="I46" s="22">
        <f t="shared" si="0"/>
        <v>114</v>
      </c>
    </row>
    <row r="47" spans="1:9" x14ac:dyDescent="0.25">
      <c r="A47" s="4">
        <v>50</v>
      </c>
      <c r="B47" s="1" t="s">
        <v>49</v>
      </c>
      <c r="C47" s="26">
        <v>41183</v>
      </c>
      <c r="D47" s="26">
        <v>41258</v>
      </c>
      <c r="E47" s="22"/>
      <c r="F47" s="22"/>
      <c r="G47" s="22">
        <f t="shared" si="2"/>
        <v>75</v>
      </c>
      <c r="H47" s="22"/>
      <c r="I47" s="22">
        <f t="shared" si="0"/>
        <v>75</v>
      </c>
    </row>
    <row r="48" spans="1:9" x14ac:dyDescent="0.25">
      <c r="A48" s="4">
        <v>51</v>
      </c>
      <c r="B48" s="1" t="s">
        <v>50</v>
      </c>
      <c r="C48" s="22"/>
      <c r="D48" s="22"/>
      <c r="E48" s="22"/>
      <c r="F48" s="22"/>
      <c r="G48" s="22">
        <f t="shared" si="2"/>
        <v>0</v>
      </c>
      <c r="H48" s="22"/>
      <c r="I48" s="22">
        <f t="shared" si="0"/>
        <v>0</v>
      </c>
    </row>
    <row r="49" spans="1:9" x14ac:dyDescent="0.25">
      <c r="A49" s="4">
        <v>52</v>
      </c>
      <c r="B49" s="1" t="s">
        <v>51</v>
      </c>
      <c r="C49" s="22"/>
      <c r="D49" s="22"/>
      <c r="E49" s="22"/>
      <c r="F49" s="22"/>
      <c r="G49" s="22">
        <f t="shared" si="2"/>
        <v>0</v>
      </c>
      <c r="H49" s="22"/>
      <c r="I49" s="22">
        <f t="shared" si="0"/>
        <v>0</v>
      </c>
    </row>
    <row r="50" spans="1:9" x14ac:dyDescent="0.25">
      <c r="A50" s="4">
        <v>53</v>
      </c>
      <c r="B50" s="6" t="s">
        <v>52</v>
      </c>
      <c r="C50" s="22"/>
      <c r="D50" s="22"/>
      <c r="E50" s="22"/>
      <c r="F50" s="22"/>
      <c r="G50" s="22">
        <f t="shared" si="2"/>
        <v>0</v>
      </c>
      <c r="H50" s="22"/>
      <c r="I50" s="22">
        <f t="shared" si="0"/>
        <v>0</v>
      </c>
    </row>
    <row r="51" spans="1:9" x14ac:dyDescent="0.25">
      <c r="A51" s="4">
        <v>54</v>
      </c>
      <c r="B51" s="6" t="s">
        <v>53</v>
      </c>
      <c r="C51" s="22"/>
      <c r="D51" s="22"/>
      <c r="E51" s="22"/>
      <c r="F51" s="22"/>
      <c r="G51" s="22">
        <f t="shared" si="2"/>
        <v>0</v>
      </c>
      <c r="H51" s="22"/>
      <c r="I51" s="22">
        <f t="shared" si="0"/>
        <v>0</v>
      </c>
    </row>
    <row r="52" spans="1:9" x14ac:dyDescent="0.25">
      <c r="A52" s="4">
        <v>55</v>
      </c>
      <c r="B52" s="6" t="s">
        <v>54</v>
      </c>
      <c r="C52" s="22"/>
      <c r="D52" s="22"/>
      <c r="E52" s="22"/>
      <c r="F52" s="22"/>
      <c r="G52" s="22">
        <f t="shared" si="2"/>
        <v>0</v>
      </c>
      <c r="H52" s="22"/>
      <c r="I52" s="22">
        <f t="shared" si="0"/>
        <v>0</v>
      </c>
    </row>
    <row r="53" spans="1:9" x14ac:dyDescent="0.25">
      <c r="A53" s="4">
        <v>56</v>
      </c>
      <c r="B53" s="6" t="s">
        <v>55</v>
      </c>
      <c r="C53" s="22"/>
      <c r="D53" s="22"/>
      <c r="E53" s="22"/>
      <c r="F53" s="22"/>
      <c r="G53" s="22">
        <f t="shared" si="2"/>
        <v>0</v>
      </c>
      <c r="H53" s="22"/>
      <c r="I53" s="22">
        <f t="shared" si="0"/>
        <v>0</v>
      </c>
    </row>
    <row r="54" spans="1:9" x14ac:dyDescent="0.25">
      <c r="A54" s="20"/>
      <c r="B54" s="21" t="s">
        <v>56</v>
      </c>
    </row>
    <row r="55" spans="1:9" x14ac:dyDescent="0.25">
      <c r="A55" s="14"/>
      <c r="B55" s="15"/>
    </row>
    <row r="56" spans="1:9" x14ac:dyDescent="0.25">
      <c r="A56" s="8"/>
      <c r="B56" s="10"/>
    </row>
    <row r="57" spans="1:9" x14ac:dyDescent="0.25">
      <c r="A57" s="8"/>
      <c r="B57" s="10"/>
    </row>
    <row r="58" spans="1:9" x14ac:dyDescent="0.25">
      <c r="A58" s="8"/>
      <c r="B58" s="10"/>
    </row>
    <row r="59" spans="1:9" x14ac:dyDescent="0.25">
      <c r="A59" s="8"/>
      <c r="B59" s="10"/>
    </row>
    <row r="60" spans="1:9" x14ac:dyDescent="0.25">
      <c r="A60" s="8"/>
      <c r="B60" s="10"/>
    </row>
    <row r="62" spans="1:9" x14ac:dyDescent="0.25">
      <c r="A62" s="4">
        <v>5</v>
      </c>
      <c r="B62" s="6" t="s">
        <v>4</v>
      </c>
      <c r="C62" s="26">
        <v>40929</v>
      </c>
      <c r="D62" s="26">
        <v>40959</v>
      </c>
      <c r="E62" s="22"/>
      <c r="F62" s="22"/>
      <c r="G62" s="22">
        <f>D62-C62</f>
        <v>30</v>
      </c>
      <c r="H62" s="22"/>
      <c r="I62" s="22">
        <f>G62+H62</f>
        <v>30</v>
      </c>
    </row>
    <row r="63" spans="1:9" x14ac:dyDescent="0.25">
      <c r="A63" s="4">
        <v>37</v>
      </c>
      <c r="B63" s="1" t="s">
        <v>36</v>
      </c>
      <c r="C63" s="150" t="s">
        <v>70</v>
      </c>
      <c r="D63" s="150"/>
      <c r="E63" s="22"/>
      <c r="F63" s="22"/>
      <c r="G63" s="22">
        <v>0</v>
      </c>
      <c r="H63" s="22"/>
      <c r="I63" s="22">
        <f>G63+H63</f>
        <v>0</v>
      </c>
    </row>
    <row r="64" spans="1:9" x14ac:dyDescent="0.25">
      <c r="A64" s="4">
        <v>39</v>
      </c>
      <c r="B64" s="5" t="s">
        <v>38</v>
      </c>
      <c r="C64" s="150" t="s">
        <v>70</v>
      </c>
      <c r="D64" s="150"/>
      <c r="E64" s="22"/>
      <c r="F64" s="22"/>
      <c r="G64" s="22">
        <v>0</v>
      </c>
      <c r="H64" s="22"/>
      <c r="I64" s="22">
        <f>G64+H64</f>
        <v>0</v>
      </c>
    </row>
    <row r="65" spans="1:9" x14ac:dyDescent="0.25">
      <c r="A65" s="4">
        <v>15</v>
      </c>
      <c r="B65" s="1" t="s">
        <v>14</v>
      </c>
      <c r="C65" s="26">
        <v>41000</v>
      </c>
      <c r="D65" s="26">
        <v>41070</v>
      </c>
      <c r="E65" s="22"/>
      <c r="F65" s="22"/>
      <c r="G65" s="22">
        <f>D65-C65</f>
        <v>70</v>
      </c>
      <c r="H65" s="22"/>
      <c r="I65" s="22">
        <f>G65+H65</f>
        <v>70</v>
      </c>
    </row>
    <row r="66" spans="1:9" x14ac:dyDescent="0.25">
      <c r="A66" s="4">
        <v>16</v>
      </c>
      <c r="B66" s="5" t="s">
        <v>15</v>
      </c>
      <c r="C66" s="26">
        <v>41147</v>
      </c>
      <c r="D66" s="26">
        <v>41185</v>
      </c>
      <c r="E66" s="22"/>
      <c r="F66" s="22"/>
      <c r="G66" s="22">
        <f>D66-C66</f>
        <v>38</v>
      </c>
      <c r="H66" s="22"/>
      <c r="I66" s="22">
        <f>G66+H66</f>
        <v>38</v>
      </c>
    </row>
  </sheetData>
  <mergeCells count="18">
    <mergeCell ref="C2:D2"/>
    <mergeCell ref="E2:F2"/>
    <mergeCell ref="C7:D7"/>
    <mergeCell ref="C9:D9"/>
    <mergeCell ref="C22:D22"/>
    <mergeCell ref="C64:D64"/>
    <mergeCell ref="C39:D39"/>
    <mergeCell ref="C40:D40"/>
    <mergeCell ref="C24:D24"/>
    <mergeCell ref="C31:D31"/>
    <mergeCell ref="C32:D32"/>
    <mergeCell ref="C34:D34"/>
    <mergeCell ref="C35:D35"/>
    <mergeCell ref="C42:D42"/>
    <mergeCell ref="C43:D43"/>
    <mergeCell ref="C44:D44"/>
    <mergeCell ref="C63:D63"/>
    <mergeCell ref="C36:D3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7"/>
  <sheetViews>
    <sheetView topLeftCell="B1" workbookViewId="0">
      <selection activeCell="C6" sqref="C6:J6"/>
    </sheetView>
  </sheetViews>
  <sheetFormatPr defaultRowHeight="15" x14ac:dyDescent="0.25"/>
  <cols>
    <col min="2" max="2" width="35.42578125" bestFit="1" customWidth="1"/>
    <col min="3" max="3" width="18.85546875" customWidth="1"/>
    <col min="4" max="7" width="10.7109375" bestFit="1" customWidth="1"/>
    <col min="8" max="9" width="9.140625" style="18"/>
  </cols>
  <sheetData>
    <row r="1" spans="1:10" x14ac:dyDescent="0.25">
      <c r="A1" s="17" t="s">
        <v>125</v>
      </c>
      <c r="B1" s="3" t="s">
        <v>126</v>
      </c>
      <c r="C1" s="153" t="s">
        <v>127</v>
      </c>
      <c r="D1" s="153"/>
      <c r="E1" s="153"/>
      <c r="F1" s="153" t="s">
        <v>128</v>
      </c>
      <c r="G1" s="153"/>
      <c r="H1" s="22" t="s">
        <v>129</v>
      </c>
      <c r="I1" s="22" t="s">
        <v>129</v>
      </c>
      <c r="J1" s="22" t="s">
        <v>72</v>
      </c>
    </row>
    <row r="2" spans="1:10" x14ac:dyDescent="0.25">
      <c r="A2" s="27">
        <v>1</v>
      </c>
      <c r="B2" s="6" t="s">
        <v>0</v>
      </c>
      <c r="C2" s="26" t="s">
        <v>87</v>
      </c>
      <c r="D2" s="26">
        <v>40787</v>
      </c>
      <c r="E2" s="26">
        <v>40804</v>
      </c>
      <c r="F2" s="22"/>
      <c r="G2" s="22"/>
      <c r="H2" s="28">
        <f t="shared" ref="H2:H18" si="0">E2-D2</f>
        <v>17</v>
      </c>
      <c r="I2" s="28">
        <f>G2-F2</f>
        <v>0</v>
      </c>
      <c r="J2" s="29">
        <f>H2+I2</f>
        <v>17</v>
      </c>
    </row>
    <row r="3" spans="1:10" x14ac:dyDescent="0.25">
      <c r="A3" s="27">
        <v>2</v>
      </c>
      <c r="B3" s="6" t="s">
        <v>1</v>
      </c>
      <c r="C3" s="22" t="s">
        <v>88</v>
      </c>
      <c r="D3" s="26">
        <v>40544</v>
      </c>
      <c r="E3" s="26">
        <v>40548</v>
      </c>
      <c r="F3" s="26">
        <v>40848</v>
      </c>
      <c r="G3" s="26">
        <v>40864</v>
      </c>
      <c r="H3" s="28">
        <f t="shared" si="0"/>
        <v>4</v>
      </c>
      <c r="I3" s="28">
        <f>G3-F3</f>
        <v>16</v>
      </c>
      <c r="J3" s="29">
        <f t="shared" ref="J3:J52" si="1">H3+I3</f>
        <v>20</v>
      </c>
    </row>
    <row r="4" spans="1:10" x14ac:dyDescent="0.25">
      <c r="A4" s="27">
        <v>3</v>
      </c>
      <c r="B4" s="5" t="s">
        <v>2</v>
      </c>
      <c r="C4" s="22" t="s">
        <v>89</v>
      </c>
      <c r="D4" s="26">
        <v>40894</v>
      </c>
      <c r="E4" s="26">
        <v>40908</v>
      </c>
      <c r="F4" s="22"/>
      <c r="G4" s="22"/>
      <c r="H4" s="28">
        <f t="shared" si="0"/>
        <v>14</v>
      </c>
      <c r="I4" s="28">
        <f t="shared" ref="I4:I10" si="2">G4-F4</f>
        <v>0</v>
      </c>
      <c r="J4" s="29">
        <f t="shared" si="1"/>
        <v>14</v>
      </c>
    </row>
    <row r="5" spans="1:10" x14ac:dyDescent="0.25">
      <c r="A5" s="27">
        <v>4</v>
      </c>
      <c r="B5" s="11" t="s">
        <v>3</v>
      </c>
      <c r="C5" s="22" t="s">
        <v>70</v>
      </c>
      <c r="D5" s="22"/>
      <c r="E5" s="22"/>
      <c r="F5" s="22"/>
      <c r="G5" s="22"/>
      <c r="H5" s="28">
        <f t="shared" si="0"/>
        <v>0</v>
      </c>
      <c r="I5" s="28">
        <f t="shared" si="2"/>
        <v>0</v>
      </c>
      <c r="J5" s="29">
        <f t="shared" si="1"/>
        <v>0</v>
      </c>
    </row>
    <row r="6" spans="1:10" x14ac:dyDescent="0.25">
      <c r="A6" s="27">
        <v>6</v>
      </c>
      <c r="B6" s="6" t="s">
        <v>5</v>
      </c>
      <c r="C6" s="22" t="s">
        <v>90</v>
      </c>
      <c r="D6" s="22"/>
      <c r="E6" s="22"/>
      <c r="F6" s="22"/>
      <c r="G6" s="22"/>
      <c r="H6" s="28">
        <f t="shared" si="0"/>
        <v>0</v>
      </c>
      <c r="I6" s="28">
        <f t="shared" si="2"/>
        <v>0</v>
      </c>
      <c r="J6" s="29">
        <f t="shared" si="1"/>
        <v>0</v>
      </c>
    </row>
    <row r="7" spans="1:10" x14ac:dyDescent="0.25">
      <c r="A7" s="27">
        <v>7</v>
      </c>
      <c r="B7" s="2" t="s">
        <v>6</v>
      </c>
      <c r="C7" s="26" t="s">
        <v>91</v>
      </c>
      <c r="D7" s="26">
        <v>40695</v>
      </c>
      <c r="E7" s="26">
        <v>40705</v>
      </c>
      <c r="F7" s="22"/>
      <c r="G7" s="22"/>
      <c r="H7" s="28">
        <f t="shared" si="0"/>
        <v>10</v>
      </c>
      <c r="I7" s="28">
        <f t="shared" si="2"/>
        <v>0</v>
      </c>
      <c r="J7" s="29">
        <f t="shared" si="1"/>
        <v>10</v>
      </c>
    </row>
    <row r="8" spans="1:10" x14ac:dyDescent="0.25">
      <c r="A8" s="27">
        <v>8</v>
      </c>
      <c r="B8" s="6" t="s">
        <v>7</v>
      </c>
      <c r="C8" s="22" t="s">
        <v>70</v>
      </c>
      <c r="D8" s="22"/>
      <c r="E8" s="22"/>
      <c r="F8" s="22"/>
      <c r="G8" s="22"/>
      <c r="H8" s="28">
        <f t="shared" si="0"/>
        <v>0</v>
      </c>
      <c r="I8" s="28">
        <f t="shared" si="2"/>
        <v>0</v>
      </c>
      <c r="J8" s="29">
        <f t="shared" si="1"/>
        <v>0</v>
      </c>
    </row>
    <row r="9" spans="1:10" x14ac:dyDescent="0.25">
      <c r="A9" s="27">
        <v>9</v>
      </c>
      <c r="B9" s="1" t="s">
        <v>8</v>
      </c>
      <c r="C9" s="22" t="s">
        <v>92</v>
      </c>
      <c r="D9" s="26">
        <v>40886</v>
      </c>
      <c r="E9" s="26">
        <v>40908</v>
      </c>
      <c r="F9" s="22"/>
      <c r="G9" s="22"/>
      <c r="H9" s="28">
        <f t="shared" si="0"/>
        <v>22</v>
      </c>
      <c r="I9" s="28">
        <f t="shared" si="2"/>
        <v>0</v>
      </c>
      <c r="J9" s="29">
        <f t="shared" si="1"/>
        <v>22</v>
      </c>
    </row>
    <row r="10" spans="1:10" x14ac:dyDescent="0.25">
      <c r="A10" s="27">
        <v>10</v>
      </c>
      <c r="B10" s="11" t="s">
        <v>9</v>
      </c>
      <c r="C10" s="22" t="s">
        <v>70</v>
      </c>
      <c r="D10" s="22"/>
      <c r="E10" s="22"/>
      <c r="F10" s="22"/>
      <c r="G10" s="22"/>
      <c r="H10" s="28">
        <f t="shared" si="0"/>
        <v>0</v>
      </c>
      <c r="I10" s="28">
        <f t="shared" si="2"/>
        <v>0</v>
      </c>
      <c r="J10" s="29">
        <f t="shared" si="1"/>
        <v>0</v>
      </c>
    </row>
    <row r="11" spans="1:10" x14ac:dyDescent="0.25">
      <c r="A11" s="27">
        <v>11</v>
      </c>
      <c r="B11" s="7" t="s">
        <v>10</v>
      </c>
      <c r="C11" s="22" t="s">
        <v>93</v>
      </c>
      <c r="D11" s="26">
        <v>40634</v>
      </c>
      <c r="E11" s="26">
        <v>40638</v>
      </c>
      <c r="F11" s="26">
        <v>40776</v>
      </c>
      <c r="G11" s="26">
        <v>40805</v>
      </c>
      <c r="H11" s="28">
        <f t="shared" si="0"/>
        <v>4</v>
      </c>
      <c r="I11" s="28">
        <f>G11-F11</f>
        <v>29</v>
      </c>
      <c r="J11" s="29">
        <f t="shared" si="1"/>
        <v>33</v>
      </c>
    </row>
    <row r="12" spans="1:10" x14ac:dyDescent="0.25">
      <c r="A12" s="27">
        <v>12</v>
      </c>
      <c r="B12" s="6" t="s">
        <v>11</v>
      </c>
      <c r="C12" s="22" t="s">
        <v>94</v>
      </c>
      <c r="D12" s="26">
        <v>40662</v>
      </c>
      <c r="E12" s="26">
        <v>40698</v>
      </c>
      <c r="F12" s="26">
        <v>40809</v>
      </c>
      <c r="G12" s="26">
        <v>40818</v>
      </c>
      <c r="H12" s="28">
        <f t="shared" si="0"/>
        <v>36</v>
      </c>
      <c r="I12" s="28">
        <f>G12-F12</f>
        <v>9</v>
      </c>
      <c r="J12" s="29">
        <f t="shared" si="1"/>
        <v>45</v>
      </c>
    </row>
    <row r="13" spans="1:10" x14ac:dyDescent="0.25">
      <c r="A13" s="27">
        <v>13</v>
      </c>
      <c r="B13" s="12" t="s">
        <v>12</v>
      </c>
      <c r="C13" s="22" t="s">
        <v>95</v>
      </c>
      <c r="D13" s="26">
        <v>40756</v>
      </c>
      <c r="E13" s="26">
        <v>40762</v>
      </c>
      <c r="F13" s="26"/>
      <c r="G13" s="26"/>
      <c r="H13" s="28">
        <f t="shared" si="0"/>
        <v>6</v>
      </c>
      <c r="I13" s="28">
        <f t="shared" ref="I13:I52" si="3">G13-F13</f>
        <v>0</v>
      </c>
      <c r="J13" s="29">
        <f t="shared" si="1"/>
        <v>6</v>
      </c>
    </row>
    <row r="14" spans="1:10" x14ac:dyDescent="0.25">
      <c r="A14" s="27">
        <v>14</v>
      </c>
      <c r="B14" s="1" t="s">
        <v>13</v>
      </c>
      <c r="C14" s="22" t="s">
        <v>70</v>
      </c>
      <c r="D14" s="22"/>
      <c r="E14" s="22"/>
      <c r="F14" s="22"/>
      <c r="G14" s="22"/>
      <c r="H14" s="28">
        <f t="shared" si="0"/>
        <v>0</v>
      </c>
      <c r="I14" s="28">
        <f t="shared" si="3"/>
        <v>0</v>
      </c>
      <c r="J14" s="29">
        <f t="shared" si="1"/>
        <v>0</v>
      </c>
    </row>
    <row r="15" spans="1:10" x14ac:dyDescent="0.25">
      <c r="A15" s="27">
        <v>17</v>
      </c>
      <c r="B15" s="11" t="s">
        <v>16</v>
      </c>
      <c r="C15" s="22" t="s">
        <v>98</v>
      </c>
      <c r="D15" s="26">
        <v>40775</v>
      </c>
      <c r="E15" s="26">
        <v>40811</v>
      </c>
      <c r="F15" s="22"/>
      <c r="G15" s="22"/>
      <c r="H15" s="28">
        <f t="shared" si="0"/>
        <v>36</v>
      </c>
      <c r="I15" s="28">
        <f t="shared" si="3"/>
        <v>0</v>
      </c>
      <c r="J15" s="29">
        <f t="shared" si="1"/>
        <v>36</v>
      </c>
    </row>
    <row r="16" spans="1:10" x14ac:dyDescent="0.25">
      <c r="A16" s="27">
        <v>18</v>
      </c>
      <c r="B16" s="1" t="s">
        <v>17</v>
      </c>
      <c r="C16" s="22" t="s">
        <v>70</v>
      </c>
      <c r="D16" s="22"/>
      <c r="E16" s="22"/>
      <c r="F16" s="22"/>
      <c r="G16" s="22"/>
      <c r="H16" s="28">
        <f t="shared" si="0"/>
        <v>0</v>
      </c>
      <c r="I16" s="28">
        <f t="shared" si="3"/>
        <v>0</v>
      </c>
      <c r="J16" s="29">
        <f t="shared" si="1"/>
        <v>0</v>
      </c>
    </row>
    <row r="17" spans="1:10" x14ac:dyDescent="0.25">
      <c r="A17" s="27">
        <v>19</v>
      </c>
      <c r="B17" s="1" t="s">
        <v>18</v>
      </c>
      <c r="C17" s="22" t="s">
        <v>70</v>
      </c>
      <c r="D17" s="22"/>
      <c r="E17" s="22"/>
      <c r="F17" s="22"/>
      <c r="G17" s="22"/>
      <c r="H17" s="28">
        <f t="shared" si="0"/>
        <v>0</v>
      </c>
      <c r="I17" s="28">
        <f t="shared" si="3"/>
        <v>0</v>
      </c>
      <c r="J17" s="29">
        <f t="shared" si="1"/>
        <v>0</v>
      </c>
    </row>
    <row r="18" spans="1:10" x14ac:dyDescent="0.25">
      <c r="A18" s="27">
        <v>20</v>
      </c>
      <c r="B18" s="5" t="s">
        <v>19</v>
      </c>
      <c r="C18" s="22" t="s">
        <v>99</v>
      </c>
      <c r="D18" s="26">
        <v>40794</v>
      </c>
      <c r="E18" s="26">
        <v>40828</v>
      </c>
      <c r="F18" s="22"/>
      <c r="G18" s="22"/>
      <c r="H18" s="28">
        <f t="shared" si="0"/>
        <v>34</v>
      </c>
      <c r="I18" s="28">
        <f t="shared" si="3"/>
        <v>0</v>
      </c>
      <c r="J18" s="29">
        <f t="shared" si="1"/>
        <v>34</v>
      </c>
    </row>
    <row r="19" spans="1:10" x14ac:dyDescent="0.25">
      <c r="A19" s="27">
        <v>21</v>
      </c>
      <c r="B19" s="5" t="s">
        <v>20</v>
      </c>
      <c r="C19" s="22" t="s">
        <v>70</v>
      </c>
      <c r="D19" s="22"/>
      <c r="E19" s="22"/>
      <c r="F19" s="22"/>
      <c r="G19" s="22"/>
      <c r="H19" s="28">
        <f t="shared" ref="H19:H27" si="4">E19-D19</f>
        <v>0</v>
      </c>
      <c r="I19" s="28">
        <f t="shared" si="3"/>
        <v>0</v>
      </c>
      <c r="J19" s="29">
        <f t="shared" si="1"/>
        <v>0</v>
      </c>
    </row>
    <row r="20" spans="1:10" x14ac:dyDescent="0.25">
      <c r="A20" s="27">
        <v>22</v>
      </c>
      <c r="B20" s="6" t="s">
        <v>21</v>
      </c>
      <c r="C20" s="22" t="s">
        <v>70</v>
      </c>
      <c r="D20" s="22"/>
      <c r="E20" s="22"/>
      <c r="F20" s="22"/>
      <c r="G20" s="22"/>
      <c r="H20" s="28">
        <f t="shared" si="4"/>
        <v>0</v>
      </c>
      <c r="I20" s="28">
        <f t="shared" si="3"/>
        <v>0</v>
      </c>
      <c r="J20" s="29">
        <f t="shared" si="1"/>
        <v>0</v>
      </c>
    </row>
    <row r="21" spans="1:10" x14ac:dyDescent="0.25">
      <c r="A21" s="27">
        <v>23</v>
      </c>
      <c r="B21" s="6" t="s">
        <v>22</v>
      </c>
      <c r="C21" s="22" t="s">
        <v>90</v>
      </c>
      <c r="D21" s="22"/>
      <c r="E21" s="22"/>
      <c r="F21" s="22"/>
      <c r="G21" s="22"/>
      <c r="H21" s="28">
        <f t="shared" si="4"/>
        <v>0</v>
      </c>
      <c r="I21" s="28">
        <f t="shared" si="3"/>
        <v>0</v>
      </c>
      <c r="J21" s="29">
        <f t="shared" si="1"/>
        <v>0</v>
      </c>
    </row>
    <row r="22" spans="1:10" x14ac:dyDescent="0.25">
      <c r="A22" s="27">
        <v>24</v>
      </c>
      <c r="B22" s="6" t="s">
        <v>23</v>
      </c>
      <c r="C22" s="22" t="s">
        <v>100</v>
      </c>
      <c r="D22" s="22"/>
      <c r="E22" s="22"/>
      <c r="F22" s="22"/>
      <c r="G22" s="22"/>
      <c r="H22" s="28">
        <f t="shared" si="4"/>
        <v>0</v>
      </c>
      <c r="I22" s="28">
        <f t="shared" si="3"/>
        <v>0</v>
      </c>
      <c r="J22" s="29">
        <f t="shared" si="1"/>
        <v>0</v>
      </c>
    </row>
    <row r="23" spans="1:10" x14ac:dyDescent="0.25">
      <c r="A23" s="27">
        <v>25</v>
      </c>
      <c r="B23" s="6" t="s">
        <v>24</v>
      </c>
      <c r="C23" s="22" t="s">
        <v>100</v>
      </c>
      <c r="D23" s="22"/>
      <c r="E23" s="22"/>
      <c r="F23" s="22"/>
      <c r="G23" s="22"/>
      <c r="H23" s="28">
        <f t="shared" si="4"/>
        <v>0</v>
      </c>
      <c r="I23" s="28">
        <f t="shared" si="3"/>
        <v>0</v>
      </c>
      <c r="J23" s="29">
        <f t="shared" si="1"/>
        <v>0</v>
      </c>
    </row>
    <row r="24" spans="1:10" x14ac:dyDescent="0.25">
      <c r="A24" s="27">
        <v>26</v>
      </c>
      <c r="B24" s="6" t="s">
        <v>25</v>
      </c>
      <c r="C24" s="22" t="s">
        <v>77</v>
      </c>
      <c r="D24" s="22"/>
      <c r="E24" s="22"/>
      <c r="F24" s="22"/>
      <c r="G24" s="22"/>
      <c r="H24" s="28">
        <f t="shared" si="4"/>
        <v>0</v>
      </c>
      <c r="I24" s="28">
        <f t="shared" si="3"/>
        <v>0</v>
      </c>
      <c r="J24" s="29">
        <f t="shared" si="1"/>
        <v>0</v>
      </c>
    </row>
    <row r="25" spans="1:10" x14ac:dyDescent="0.25">
      <c r="A25" s="27">
        <v>27</v>
      </c>
      <c r="B25" s="6" t="s">
        <v>26</v>
      </c>
      <c r="C25" s="22" t="s">
        <v>77</v>
      </c>
      <c r="D25" s="22"/>
      <c r="E25" s="22"/>
      <c r="F25" s="22"/>
      <c r="G25" s="22"/>
      <c r="H25" s="28">
        <f t="shared" si="4"/>
        <v>0</v>
      </c>
      <c r="I25" s="28">
        <f t="shared" si="3"/>
        <v>0</v>
      </c>
      <c r="J25" s="29">
        <f t="shared" si="1"/>
        <v>0</v>
      </c>
    </row>
    <row r="26" spans="1:10" x14ac:dyDescent="0.25">
      <c r="A26" s="27">
        <v>28</v>
      </c>
      <c r="B26" s="6" t="s">
        <v>27</v>
      </c>
      <c r="C26" s="22" t="s">
        <v>77</v>
      </c>
      <c r="D26" s="22"/>
      <c r="E26" s="22"/>
      <c r="F26" s="22"/>
      <c r="G26" s="22"/>
      <c r="H26" s="28">
        <f t="shared" si="4"/>
        <v>0</v>
      </c>
      <c r="I26" s="28">
        <f t="shared" si="3"/>
        <v>0</v>
      </c>
      <c r="J26" s="29">
        <f t="shared" si="1"/>
        <v>0</v>
      </c>
    </row>
    <row r="27" spans="1:10" x14ac:dyDescent="0.25">
      <c r="A27" s="27">
        <v>29</v>
      </c>
      <c r="B27" s="2" t="s">
        <v>28</v>
      </c>
      <c r="C27" s="22" t="s">
        <v>70</v>
      </c>
      <c r="D27" s="22"/>
      <c r="E27" s="22"/>
      <c r="F27" s="22"/>
      <c r="G27" s="22"/>
      <c r="H27" s="28">
        <f t="shared" si="4"/>
        <v>0</v>
      </c>
      <c r="I27" s="28">
        <f t="shared" si="3"/>
        <v>0</v>
      </c>
      <c r="J27" s="29">
        <f t="shared" si="1"/>
        <v>0</v>
      </c>
    </row>
    <row r="28" spans="1:10" x14ac:dyDescent="0.25">
      <c r="A28" s="27">
        <v>30</v>
      </c>
      <c r="B28" s="1" t="s">
        <v>29</v>
      </c>
      <c r="C28" s="22" t="s">
        <v>101</v>
      </c>
      <c r="D28" s="26">
        <v>40815</v>
      </c>
      <c r="E28" s="26">
        <v>40908</v>
      </c>
      <c r="F28" s="22"/>
      <c r="G28" s="22"/>
      <c r="H28" s="28">
        <f t="shared" ref="H28:H52" si="5">E28-D28</f>
        <v>93</v>
      </c>
      <c r="I28" s="28">
        <f t="shared" si="3"/>
        <v>0</v>
      </c>
      <c r="J28" s="29">
        <f t="shared" si="1"/>
        <v>93</v>
      </c>
    </row>
    <row r="29" spans="1:10" x14ac:dyDescent="0.25">
      <c r="A29" s="27">
        <v>31</v>
      </c>
      <c r="B29" s="1" t="s">
        <v>30</v>
      </c>
      <c r="C29" s="22" t="s">
        <v>102</v>
      </c>
      <c r="D29" s="26">
        <v>40601</v>
      </c>
      <c r="E29" s="26">
        <v>40694</v>
      </c>
      <c r="F29" s="22"/>
      <c r="G29" s="22"/>
      <c r="H29" s="28">
        <f t="shared" si="5"/>
        <v>93</v>
      </c>
      <c r="I29" s="28">
        <f t="shared" si="3"/>
        <v>0</v>
      </c>
      <c r="J29" s="29">
        <f t="shared" si="1"/>
        <v>93</v>
      </c>
    </row>
    <row r="30" spans="1:10" x14ac:dyDescent="0.25">
      <c r="A30" s="27">
        <v>32</v>
      </c>
      <c r="B30" s="1" t="s">
        <v>31</v>
      </c>
      <c r="C30" s="22" t="s">
        <v>103</v>
      </c>
      <c r="D30" s="26">
        <v>40544</v>
      </c>
      <c r="E30" s="26">
        <v>40563</v>
      </c>
      <c r="F30" s="22"/>
      <c r="G30" s="22"/>
      <c r="H30" s="28">
        <f t="shared" si="5"/>
        <v>19</v>
      </c>
      <c r="I30" s="28">
        <f t="shared" si="3"/>
        <v>0</v>
      </c>
      <c r="J30" s="29">
        <f t="shared" si="1"/>
        <v>19</v>
      </c>
    </row>
    <row r="31" spans="1:10" x14ac:dyDescent="0.25">
      <c r="A31" s="27">
        <v>33</v>
      </c>
      <c r="B31" s="1" t="s">
        <v>32</v>
      </c>
      <c r="C31" s="22" t="s">
        <v>104</v>
      </c>
      <c r="D31" s="26">
        <v>40695</v>
      </c>
      <c r="E31" s="26">
        <v>40809</v>
      </c>
      <c r="F31" s="22"/>
      <c r="G31" s="22"/>
      <c r="H31" s="28">
        <f t="shared" si="5"/>
        <v>114</v>
      </c>
      <c r="I31" s="28">
        <f t="shared" si="3"/>
        <v>0</v>
      </c>
      <c r="J31" s="29">
        <f t="shared" si="1"/>
        <v>114</v>
      </c>
    </row>
    <row r="32" spans="1:10" x14ac:dyDescent="0.25">
      <c r="A32" s="27">
        <v>34</v>
      </c>
      <c r="B32" s="13" t="s">
        <v>33</v>
      </c>
      <c r="C32" s="22" t="s">
        <v>121</v>
      </c>
      <c r="D32" s="22"/>
      <c r="E32" s="22"/>
      <c r="F32" s="22"/>
      <c r="G32" s="22"/>
      <c r="H32" s="28">
        <f t="shared" si="5"/>
        <v>0</v>
      </c>
      <c r="I32" s="28">
        <f t="shared" si="3"/>
        <v>0</v>
      </c>
      <c r="J32" s="29">
        <f t="shared" si="1"/>
        <v>0</v>
      </c>
    </row>
    <row r="33" spans="1:10" x14ac:dyDescent="0.25">
      <c r="A33" s="27">
        <v>35</v>
      </c>
      <c r="B33" s="2" t="s">
        <v>34</v>
      </c>
      <c r="C33" s="22" t="s">
        <v>70</v>
      </c>
      <c r="D33" s="22"/>
      <c r="E33" s="22"/>
      <c r="F33" s="22"/>
      <c r="G33" s="22"/>
      <c r="H33" s="28">
        <f t="shared" si="5"/>
        <v>0</v>
      </c>
      <c r="I33" s="28">
        <f t="shared" si="3"/>
        <v>0</v>
      </c>
      <c r="J33" s="29">
        <f t="shared" si="1"/>
        <v>0</v>
      </c>
    </row>
    <row r="34" spans="1:10" x14ac:dyDescent="0.25">
      <c r="A34" s="27">
        <v>36</v>
      </c>
      <c r="B34" s="1" t="s">
        <v>35</v>
      </c>
      <c r="C34" s="22" t="s">
        <v>70</v>
      </c>
      <c r="D34" s="22"/>
      <c r="E34" s="22"/>
      <c r="F34" s="22"/>
      <c r="G34" s="22"/>
      <c r="H34" s="28">
        <f t="shared" si="5"/>
        <v>0</v>
      </c>
      <c r="I34" s="28">
        <f t="shared" si="3"/>
        <v>0</v>
      </c>
      <c r="J34" s="29">
        <f t="shared" si="1"/>
        <v>0</v>
      </c>
    </row>
    <row r="35" spans="1:10" x14ac:dyDescent="0.25">
      <c r="A35" s="27">
        <v>38</v>
      </c>
      <c r="B35" s="5" t="s">
        <v>37</v>
      </c>
      <c r="C35" s="22" t="s">
        <v>115</v>
      </c>
      <c r="D35" s="22"/>
      <c r="E35" s="22"/>
      <c r="F35" s="22"/>
      <c r="G35" s="22"/>
      <c r="H35" s="28">
        <f t="shared" si="5"/>
        <v>0</v>
      </c>
      <c r="I35" s="28">
        <f t="shared" si="3"/>
        <v>0</v>
      </c>
      <c r="J35" s="29">
        <f t="shared" si="1"/>
        <v>0</v>
      </c>
    </row>
    <row r="36" spans="1:10" x14ac:dyDescent="0.25">
      <c r="A36" s="27">
        <v>40</v>
      </c>
      <c r="B36" s="5" t="s">
        <v>39</v>
      </c>
      <c r="C36" s="22" t="s">
        <v>107</v>
      </c>
      <c r="D36" s="22"/>
      <c r="E36" s="22"/>
      <c r="F36" s="22"/>
      <c r="G36" s="22"/>
      <c r="H36" s="28">
        <f t="shared" si="5"/>
        <v>0</v>
      </c>
      <c r="I36" s="28">
        <f t="shared" si="3"/>
        <v>0</v>
      </c>
      <c r="J36" s="29">
        <f t="shared" si="1"/>
        <v>0</v>
      </c>
    </row>
    <row r="37" spans="1:10" x14ac:dyDescent="0.25">
      <c r="A37" s="27">
        <v>41</v>
      </c>
      <c r="B37" s="16" t="s">
        <v>40</v>
      </c>
      <c r="C37" s="22" t="s">
        <v>108</v>
      </c>
      <c r="D37" s="26">
        <v>40725</v>
      </c>
      <c r="E37" s="26">
        <v>40742</v>
      </c>
      <c r="F37" s="22"/>
      <c r="G37" s="22"/>
      <c r="H37" s="28">
        <f t="shared" si="5"/>
        <v>17</v>
      </c>
      <c r="I37" s="28">
        <f t="shared" si="3"/>
        <v>0</v>
      </c>
      <c r="J37" s="29">
        <f t="shared" si="1"/>
        <v>17</v>
      </c>
    </row>
    <row r="38" spans="1:10" x14ac:dyDescent="0.25">
      <c r="A38" s="27">
        <v>42</v>
      </c>
      <c r="B38" s="1" t="s">
        <v>41</v>
      </c>
      <c r="C38" s="22" t="s">
        <v>70</v>
      </c>
      <c r="D38" s="22"/>
      <c r="E38" s="22"/>
      <c r="F38" s="22"/>
      <c r="G38" s="22"/>
      <c r="H38" s="28">
        <f t="shared" si="5"/>
        <v>0</v>
      </c>
      <c r="I38" s="28">
        <f t="shared" si="3"/>
        <v>0</v>
      </c>
      <c r="J38" s="29">
        <f t="shared" si="1"/>
        <v>0</v>
      </c>
    </row>
    <row r="39" spans="1:10" x14ac:dyDescent="0.25">
      <c r="A39" s="27">
        <v>43</v>
      </c>
      <c r="B39" s="6" t="s">
        <v>42</v>
      </c>
      <c r="C39" s="22" t="s">
        <v>109</v>
      </c>
      <c r="D39" s="22"/>
      <c r="E39" s="22"/>
      <c r="F39" s="22"/>
      <c r="G39" s="22"/>
      <c r="H39" s="28">
        <f t="shared" si="5"/>
        <v>0</v>
      </c>
      <c r="I39" s="28">
        <f t="shared" si="3"/>
        <v>0</v>
      </c>
      <c r="J39" s="29">
        <f t="shared" si="1"/>
        <v>0</v>
      </c>
    </row>
    <row r="40" spans="1:10" x14ac:dyDescent="0.25">
      <c r="A40" s="27">
        <v>44</v>
      </c>
      <c r="B40" s="1" t="s">
        <v>43</v>
      </c>
      <c r="C40" s="22" t="s">
        <v>70</v>
      </c>
      <c r="D40" s="22"/>
      <c r="E40" s="22"/>
      <c r="F40" s="22"/>
      <c r="G40" s="22"/>
      <c r="H40" s="28">
        <f t="shared" si="5"/>
        <v>0</v>
      </c>
      <c r="I40" s="28">
        <f t="shared" si="3"/>
        <v>0</v>
      </c>
      <c r="J40" s="29">
        <f t="shared" si="1"/>
        <v>0</v>
      </c>
    </row>
    <row r="41" spans="1:10" x14ac:dyDescent="0.25">
      <c r="A41" s="27">
        <v>45</v>
      </c>
      <c r="B41" s="1" t="s">
        <v>44</v>
      </c>
      <c r="C41" s="22" t="s">
        <v>110</v>
      </c>
      <c r="D41" s="26">
        <v>40787</v>
      </c>
      <c r="E41" s="26">
        <v>40908</v>
      </c>
      <c r="F41" s="22"/>
      <c r="G41" s="22"/>
      <c r="H41" s="28">
        <f t="shared" si="5"/>
        <v>121</v>
      </c>
      <c r="I41" s="28">
        <f t="shared" si="3"/>
        <v>0</v>
      </c>
      <c r="J41" s="29">
        <f t="shared" si="1"/>
        <v>121</v>
      </c>
    </row>
    <row r="42" spans="1:10" x14ac:dyDescent="0.25">
      <c r="A42" s="27">
        <v>46</v>
      </c>
      <c r="B42" s="1" t="s">
        <v>45</v>
      </c>
      <c r="C42" s="22" t="s">
        <v>111</v>
      </c>
      <c r="D42" s="26">
        <v>40603</v>
      </c>
      <c r="E42" s="26">
        <v>40664</v>
      </c>
      <c r="F42" s="22"/>
      <c r="G42" s="22"/>
      <c r="H42" s="28">
        <f t="shared" si="5"/>
        <v>61</v>
      </c>
      <c r="I42" s="28">
        <f t="shared" si="3"/>
        <v>0</v>
      </c>
      <c r="J42" s="29">
        <f t="shared" si="1"/>
        <v>61</v>
      </c>
    </row>
    <row r="43" spans="1:10" x14ac:dyDescent="0.25">
      <c r="A43" s="27">
        <v>47</v>
      </c>
      <c r="B43" s="1" t="s">
        <v>46</v>
      </c>
      <c r="C43" s="22" t="s">
        <v>70</v>
      </c>
      <c r="D43" s="22"/>
      <c r="E43" s="22"/>
      <c r="F43" s="22"/>
      <c r="G43" s="22"/>
      <c r="H43" s="28">
        <f t="shared" si="5"/>
        <v>0</v>
      </c>
      <c r="I43" s="28">
        <f t="shared" si="3"/>
        <v>0</v>
      </c>
      <c r="J43" s="29">
        <f t="shared" si="1"/>
        <v>0</v>
      </c>
    </row>
    <row r="44" spans="1:10" x14ac:dyDescent="0.25">
      <c r="A44" s="27">
        <v>48</v>
      </c>
      <c r="B44" s="13" t="s">
        <v>47</v>
      </c>
      <c r="C44" s="22" t="s">
        <v>112</v>
      </c>
      <c r="D44" s="26">
        <v>40814</v>
      </c>
      <c r="E44" s="26">
        <v>40908</v>
      </c>
      <c r="F44" s="22"/>
      <c r="G44" s="22"/>
      <c r="H44" s="28">
        <f t="shared" si="5"/>
        <v>94</v>
      </c>
      <c r="I44" s="28">
        <f t="shared" si="3"/>
        <v>0</v>
      </c>
      <c r="J44" s="29">
        <f t="shared" si="1"/>
        <v>94</v>
      </c>
    </row>
    <row r="45" spans="1:10" x14ac:dyDescent="0.25">
      <c r="A45" s="27">
        <v>49</v>
      </c>
      <c r="B45" s="12" t="s">
        <v>48</v>
      </c>
      <c r="C45" s="22" t="s">
        <v>70</v>
      </c>
      <c r="D45" s="22"/>
      <c r="E45" s="22"/>
      <c r="F45" s="22"/>
      <c r="G45" s="22"/>
      <c r="H45" s="28">
        <f t="shared" si="5"/>
        <v>0</v>
      </c>
      <c r="I45" s="28">
        <f t="shared" si="3"/>
        <v>0</v>
      </c>
      <c r="J45" s="29">
        <f t="shared" si="1"/>
        <v>0</v>
      </c>
    </row>
    <row r="46" spans="1:10" x14ac:dyDescent="0.25">
      <c r="A46" s="27">
        <v>50</v>
      </c>
      <c r="B46" s="1" t="s">
        <v>49</v>
      </c>
      <c r="C46" s="22" t="s">
        <v>70</v>
      </c>
      <c r="D46" s="22"/>
      <c r="E46" s="22"/>
      <c r="F46" s="22"/>
      <c r="G46" s="22"/>
      <c r="H46" s="28">
        <f t="shared" si="5"/>
        <v>0</v>
      </c>
      <c r="I46" s="28">
        <f t="shared" si="3"/>
        <v>0</v>
      </c>
      <c r="J46" s="29">
        <f t="shared" si="1"/>
        <v>0</v>
      </c>
    </row>
    <row r="47" spans="1:10" x14ac:dyDescent="0.25">
      <c r="A47" s="27">
        <v>51</v>
      </c>
      <c r="B47" s="1" t="s">
        <v>50</v>
      </c>
      <c r="C47" s="22" t="s">
        <v>113</v>
      </c>
      <c r="D47" s="26">
        <v>40734</v>
      </c>
      <c r="E47" s="26">
        <v>40808</v>
      </c>
      <c r="F47" s="22"/>
      <c r="G47" s="22"/>
      <c r="H47" s="28">
        <f t="shared" si="5"/>
        <v>74</v>
      </c>
      <c r="I47" s="28">
        <f t="shared" si="3"/>
        <v>0</v>
      </c>
      <c r="J47" s="29">
        <f t="shared" si="1"/>
        <v>74</v>
      </c>
    </row>
    <row r="48" spans="1:10" x14ac:dyDescent="0.25">
      <c r="A48" s="27">
        <v>52</v>
      </c>
      <c r="B48" s="1" t="s">
        <v>51</v>
      </c>
      <c r="C48" s="22" t="s">
        <v>114</v>
      </c>
      <c r="D48" s="26">
        <v>40577</v>
      </c>
      <c r="E48" s="26">
        <v>40637</v>
      </c>
      <c r="F48" s="22"/>
      <c r="G48" s="22"/>
      <c r="H48" s="28">
        <f t="shared" si="5"/>
        <v>60</v>
      </c>
      <c r="I48" s="28">
        <f t="shared" si="3"/>
        <v>0</v>
      </c>
      <c r="J48" s="29">
        <f t="shared" si="1"/>
        <v>60</v>
      </c>
    </row>
    <row r="49" spans="1:10" x14ac:dyDescent="0.25">
      <c r="A49" s="27">
        <v>53</v>
      </c>
      <c r="B49" s="6" t="s">
        <v>52</v>
      </c>
      <c r="C49" s="22" t="s">
        <v>115</v>
      </c>
      <c r="D49" s="22"/>
      <c r="E49" s="22"/>
      <c r="F49" s="22"/>
      <c r="G49" s="22"/>
      <c r="H49" s="28">
        <f t="shared" si="5"/>
        <v>0</v>
      </c>
      <c r="I49" s="28">
        <f t="shared" si="3"/>
        <v>0</v>
      </c>
      <c r="J49" s="29">
        <f t="shared" si="1"/>
        <v>0</v>
      </c>
    </row>
    <row r="50" spans="1:10" x14ac:dyDescent="0.25">
      <c r="A50" s="27">
        <v>54</v>
      </c>
      <c r="B50" s="6" t="s">
        <v>53</v>
      </c>
      <c r="C50" s="22" t="s">
        <v>116</v>
      </c>
      <c r="D50" s="26">
        <v>40848</v>
      </c>
      <c r="E50" s="26">
        <v>40865</v>
      </c>
      <c r="F50" s="22"/>
      <c r="G50" s="22"/>
      <c r="H50" s="28">
        <f t="shared" si="5"/>
        <v>17</v>
      </c>
      <c r="I50" s="28">
        <f t="shared" si="3"/>
        <v>0</v>
      </c>
      <c r="J50" s="29">
        <f t="shared" si="1"/>
        <v>17</v>
      </c>
    </row>
    <row r="51" spans="1:10" x14ac:dyDescent="0.25">
      <c r="A51" s="27">
        <v>55</v>
      </c>
      <c r="B51" s="6" t="s">
        <v>54</v>
      </c>
      <c r="C51" s="22" t="s">
        <v>117</v>
      </c>
      <c r="D51" s="22"/>
      <c r="E51" s="22"/>
      <c r="F51" s="22"/>
      <c r="G51" s="22"/>
      <c r="H51" s="28">
        <f t="shared" si="5"/>
        <v>0</v>
      </c>
      <c r="I51" s="28">
        <f t="shared" si="3"/>
        <v>0</v>
      </c>
      <c r="J51" s="29">
        <f t="shared" si="1"/>
        <v>0</v>
      </c>
    </row>
    <row r="52" spans="1:10" x14ac:dyDescent="0.25">
      <c r="A52" s="27">
        <v>56</v>
      </c>
      <c r="B52" s="6" t="s">
        <v>55</v>
      </c>
      <c r="C52" s="22" t="s">
        <v>118</v>
      </c>
      <c r="D52" s="22"/>
      <c r="E52" s="22"/>
      <c r="F52" s="22"/>
      <c r="G52" s="22"/>
      <c r="H52" s="28">
        <f t="shared" si="5"/>
        <v>0</v>
      </c>
      <c r="I52" s="28">
        <f t="shared" si="3"/>
        <v>0</v>
      </c>
      <c r="J52" s="29">
        <f t="shared" si="1"/>
        <v>0</v>
      </c>
    </row>
    <row r="53" spans="1:10" x14ac:dyDescent="0.25">
      <c r="A53" s="27"/>
      <c r="B53" s="7" t="s">
        <v>56</v>
      </c>
      <c r="C53" s="22"/>
      <c r="D53" s="22"/>
      <c r="E53" s="22"/>
      <c r="F53" s="22"/>
      <c r="G53" s="22"/>
      <c r="H53" s="28"/>
      <c r="I53" s="28"/>
      <c r="J53" s="22"/>
    </row>
    <row r="54" spans="1:10" x14ac:dyDescent="0.25">
      <c r="A54" s="14"/>
      <c r="B54" s="15"/>
    </row>
    <row r="55" spans="1:10" x14ac:dyDescent="0.25">
      <c r="A55" s="8"/>
      <c r="B55" s="10"/>
    </row>
    <row r="56" spans="1:10" x14ac:dyDescent="0.25">
      <c r="A56" s="8"/>
      <c r="B56" s="10"/>
    </row>
    <row r="57" spans="1:10" x14ac:dyDescent="0.25">
      <c r="A57" s="8"/>
      <c r="B57" s="10"/>
    </row>
    <row r="58" spans="1:10" x14ac:dyDescent="0.25">
      <c r="A58" s="8"/>
      <c r="B58" s="10"/>
    </row>
    <row r="59" spans="1:10" x14ac:dyDescent="0.25">
      <c r="A59" s="8"/>
      <c r="B59" s="10"/>
    </row>
    <row r="63" spans="1:10" x14ac:dyDescent="0.25">
      <c r="A63" s="27">
        <v>5</v>
      </c>
      <c r="B63" s="6" t="s">
        <v>4</v>
      </c>
      <c r="C63" s="22" t="s">
        <v>70</v>
      </c>
      <c r="D63" s="22"/>
      <c r="E63" s="22"/>
      <c r="F63" s="22"/>
      <c r="G63" s="22"/>
      <c r="H63" s="28">
        <f>E63-D63</f>
        <v>0</v>
      </c>
      <c r="I63" s="28">
        <f>G63-F63</f>
        <v>0</v>
      </c>
      <c r="J63" s="29">
        <f>H63+I63</f>
        <v>0</v>
      </c>
    </row>
    <row r="64" spans="1:10" x14ac:dyDescent="0.25">
      <c r="A64" s="27">
        <v>37</v>
      </c>
      <c r="B64" s="1" t="s">
        <v>36</v>
      </c>
      <c r="C64" s="22" t="s">
        <v>106</v>
      </c>
      <c r="D64" s="26">
        <v>40648</v>
      </c>
      <c r="E64" s="26">
        <v>40734</v>
      </c>
      <c r="F64" s="22"/>
      <c r="G64" s="22"/>
      <c r="H64" s="28">
        <f>E64-D64</f>
        <v>86</v>
      </c>
      <c r="I64" s="28">
        <f>G64-F64</f>
        <v>0</v>
      </c>
      <c r="J64" s="29">
        <f>H64+I64</f>
        <v>86</v>
      </c>
    </row>
    <row r="65" spans="1:10" x14ac:dyDescent="0.25">
      <c r="A65" s="27">
        <v>39</v>
      </c>
      <c r="B65" s="5" t="s">
        <v>38</v>
      </c>
      <c r="C65" s="22" t="s">
        <v>123</v>
      </c>
      <c r="D65" s="22"/>
      <c r="E65" s="22"/>
      <c r="F65" s="22"/>
      <c r="G65" s="22"/>
      <c r="H65" s="28">
        <f>E65-D65</f>
        <v>0</v>
      </c>
      <c r="I65" s="28">
        <f>G65-F65</f>
        <v>0</v>
      </c>
      <c r="J65" s="29">
        <f>H65+I65</f>
        <v>0</v>
      </c>
    </row>
    <row r="66" spans="1:10" x14ac:dyDescent="0.25">
      <c r="A66" s="27">
        <v>15</v>
      </c>
      <c r="B66" s="1" t="s">
        <v>14</v>
      </c>
      <c r="C66" s="22" t="s">
        <v>96</v>
      </c>
      <c r="D66" s="26">
        <v>40557</v>
      </c>
      <c r="E66" s="26">
        <v>40589</v>
      </c>
      <c r="F66" s="22"/>
      <c r="G66" s="22"/>
      <c r="H66" s="28">
        <f>E66-D66</f>
        <v>32</v>
      </c>
      <c r="I66" s="28">
        <f>G66-F66</f>
        <v>0</v>
      </c>
      <c r="J66" s="29">
        <f>H66+I66</f>
        <v>32</v>
      </c>
    </row>
    <row r="67" spans="1:10" x14ac:dyDescent="0.25">
      <c r="A67" s="27">
        <v>16</v>
      </c>
      <c r="B67" s="5" t="s">
        <v>15</v>
      </c>
      <c r="C67" s="26" t="s">
        <v>97</v>
      </c>
      <c r="D67" s="26">
        <v>40703</v>
      </c>
      <c r="E67" s="26">
        <v>40743</v>
      </c>
      <c r="F67" s="22"/>
      <c r="G67" s="22"/>
      <c r="H67" s="28">
        <f>E67-D67</f>
        <v>40</v>
      </c>
      <c r="I67" s="28">
        <f>G67-F67</f>
        <v>0</v>
      </c>
      <c r="J67" s="29">
        <f>H67+I67</f>
        <v>40</v>
      </c>
    </row>
  </sheetData>
  <mergeCells count="2">
    <mergeCell ref="C1:E1"/>
    <mergeCell ref="F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K65"/>
  <sheetViews>
    <sheetView workbookViewId="0">
      <selection activeCell="B7" sqref="B7:J7"/>
    </sheetView>
  </sheetViews>
  <sheetFormatPr defaultRowHeight="15" x14ac:dyDescent="0.25"/>
  <cols>
    <col min="2" max="2" width="35.42578125" bestFit="1" customWidth="1"/>
    <col min="3" max="3" width="19" bestFit="1" customWidth="1"/>
    <col min="4" max="5" width="10.7109375" bestFit="1" customWidth="1"/>
    <col min="6" max="7" width="10.7109375" customWidth="1"/>
    <col min="8" max="9" width="6.42578125" bestFit="1" customWidth="1"/>
    <col min="10" max="10" width="9" customWidth="1"/>
    <col min="11" max="11" width="9.140625" hidden="1" customWidth="1"/>
  </cols>
  <sheetData>
    <row r="2" spans="1:11" x14ac:dyDescent="0.25">
      <c r="A2" s="3" t="s">
        <v>125</v>
      </c>
      <c r="B2" s="3" t="s">
        <v>126</v>
      </c>
      <c r="C2" s="153" t="s">
        <v>127</v>
      </c>
      <c r="D2" s="153"/>
      <c r="E2" s="153"/>
      <c r="F2" s="153" t="s">
        <v>128</v>
      </c>
      <c r="G2" s="153"/>
      <c r="H2" s="22" t="s">
        <v>129</v>
      </c>
      <c r="I2" s="22" t="s">
        <v>129</v>
      </c>
      <c r="J2" s="22" t="s">
        <v>72</v>
      </c>
    </row>
    <row r="3" spans="1:11" x14ac:dyDescent="0.25">
      <c r="A3" s="4">
        <v>1</v>
      </c>
      <c r="B3" s="6" t="s">
        <v>0</v>
      </c>
      <c r="C3" s="22" t="s">
        <v>57</v>
      </c>
      <c r="D3" s="26">
        <v>40380</v>
      </c>
      <c r="E3" s="26">
        <v>40407</v>
      </c>
      <c r="F3" s="26"/>
      <c r="G3" s="26"/>
      <c r="H3" s="22">
        <f>E3-D3</f>
        <v>27</v>
      </c>
      <c r="I3" s="22">
        <v>0</v>
      </c>
      <c r="J3" s="22">
        <f>H3+I3</f>
        <v>27</v>
      </c>
      <c r="K3">
        <v>27</v>
      </c>
    </row>
    <row r="4" spans="1:11" x14ac:dyDescent="0.25">
      <c r="A4" s="4">
        <v>2</v>
      </c>
      <c r="B4" s="6" t="s">
        <v>1</v>
      </c>
      <c r="C4" s="22" t="s">
        <v>58</v>
      </c>
      <c r="D4" s="26">
        <v>40534</v>
      </c>
      <c r="E4" s="26">
        <v>40543</v>
      </c>
      <c r="F4" s="26"/>
      <c r="G4" s="26"/>
      <c r="H4" s="22">
        <f>E4-D4</f>
        <v>9</v>
      </c>
      <c r="I4" s="22">
        <v>0</v>
      </c>
      <c r="J4" s="22">
        <f t="shared" ref="J4:J54" si="0">H4+I4</f>
        <v>9</v>
      </c>
      <c r="K4">
        <v>9</v>
      </c>
    </row>
    <row r="5" spans="1:11" x14ac:dyDescent="0.25">
      <c r="A5" s="4">
        <v>3</v>
      </c>
      <c r="B5" s="5" t="s">
        <v>2</v>
      </c>
      <c r="C5" s="22" t="s">
        <v>59</v>
      </c>
      <c r="D5" s="26">
        <v>40269</v>
      </c>
      <c r="E5" s="26">
        <v>40328</v>
      </c>
      <c r="F5" s="26"/>
      <c r="G5" s="26"/>
      <c r="H5" s="22">
        <f>E5-D5</f>
        <v>59</v>
      </c>
      <c r="I5" s="22">
        <v>0</v>
      </c>
      <c r="J5" s="22">
        <f t="shared" si="0"/>
        <v>59</v>
      </c>
      <c r="K5">
        <v>59</v>
      </c>
    </row>
    <row r="6" spans="1:11" x14ac:dyDescent="0.25">
      <c r="A6" s="4">
        <v>4</v>
      </c>
      <c r="B6" s="11" t="s">
        <v>3</v>
      </c>
      <c r="C6" s="22" t="s">
        <v>60</v>
      </c>
      <c r="D6" s="22"/>
      <c r="E6" s="22"/>
      <c r="F6" s="22"/>
      <c r="G6" s="22"/>
      <c r="H6" s="22">
        <v>0</v>
      </c>
      <c r="I6" s="22">
        <v>0</v>
      </c>
      <c r="J6" s="22">
        <f t="shared" si="0"/>
        <v>0</v>
      </c>
      <c r="K6">
        <v>0</v>
      </c>
    </row>
    <row r="7" spans="1:11" x14ac:dyDescent="0.25">
      <c r="A7" s="4">
        <v>6</v>
      </c>
      <c r="B7" s="6" t="s">
        <v>5</v>
      </c>
      <c r="C7" s="22" t="s">
        <v>62</v>
      </c>
      <c r="D7" s="22"/>
      <c r="E7" s="22"/>
      <c r="F7" s="22"/>
      <c r="G7" s="22"/>
      <c r="H7" s="22">
        <v>0</v>
      </c>
      <c r="I7" s="22">
        <v>0</v>
      </c>
      <c r="J7" s="22">
        <f t="shared" si="0"/>
        <v>0</v>
      </c>
      <c r="K7">
        <v>0</v>
      </c>
    </row>
    <row r="8" spans="1:11" x14ac:dyDescent="0.25">
      <c r="A8" s="4">
        <v>7</v>
      </c>
      <c r="B8" s="2" t="s">
        <v>6</v>
      </c>
      <c r="C8" s="22" t="s">
        <v>63</v>
      </c>
      <c r="D8" s="22"/>
      <c r="E8" s="22"/>
      <c r="F8" s="22"/>
      <c r="G8" s="22"/>
      <c r="H8" s="22">
        <v>8</v>
      </c>
      <c r="I8" s="22">
        <v>0</v>
      </c>
      <c r="J8" s="22">
        <f t="shared" si="0"/>
        <v>8</v>
      </c>
      <c r="K8">
        <v>8</v>
      </c>
    </row>
    <row r="9" spans="1:11" x14ac:dyDescent="0.25">
      <c r="A9" s="4">
        <v>8</v>
      </c>
      <c r="B9" s="6" t="s">
        <v>7</v>
      </c>
      <c r="C9" s="22" t="s">
        <v>64</v>
      </c>
      <c r="D9" s="22"/>
      <c r="E9" s="22"/>
      <c r="F9" s="22"/>
      <c r="G9" s="22"/>
      <c r="H9" s="22">
        <v>0</v>
      </c>
      <c r="I9" s="22">
        <v>0</v>
      </c>
      <c r="J9" s="22">
        <f t="shared" si="0"/>
        <v>0</v>
      </c>
      <c r="K9">
        <v>0</v>
      </c>
    </row>
    <row r="10" spans="1:11" x14ac:dyDescent="0.25">
      <c r="A10" s="4">
        <v>9</v>
      </c>
      <c r="B10" s="1" t="s">
        <v>8</v>
      </c>
      <c r="C10" s="22" t="s">
        <v>65</v>
      </c>
      <c r="D10" s="26">
        <v>40192</v>
      </c>
      <c r="E10" s="26">
        <v>40245</v>
      </c>
      <c r="F10" s="26"/>
      <c r="G10" s="26"/>
      <c r="H10" s="22">
        <f>E10-D10</f>
        <v>53</v>
      </c>
      <c r="I10" s="22">
        <v>0</v>
      </c>
      <c r="J10" s="22">
        <f t="shared" si="0"/>
        <v>53</v>
      </c>
      <c r="K10">
        <v>53</v>
      </c>
    </row>
    <row r="11" spans="1:11" x14ac:dyDescent="0.25">
      <c r="A11" s="4">
        <v>10</v>
      </c>
      <c r="B11" s="11" t="s">
        <v>9</v>
      </c>
      <c r="C11" s="22" t="s">
        <v>66</v>
      </c>
      <c r="D11" s="26">
        <v>40269</v>
      </c>
      <c r="E11" s="26">
        <v>40347</v>
      </c>
      <c r="F11" s="26"/>
      <c r="G11" s="26"/>
      <c r="H11" s="22">
        <f>E11-D11</f>
        <v>78</v>
      </c>
      <c r="I11" s="22">
        <v>0</v>
      </c>
      <c r="J11" s="22">
        <f t="shared" si="0"/>
        <v>78</v>
      </c>
      <c r="K11">
        <v>78</v>
      </c>
    </row>
    <row r="12" spans="1:11" x14ac:dyDescent="0.25">
      <c r="A12" s="4">
        <v>11</v>
      </c>
      <c r="B12" s="7" t="s">
        <v>10</v>
      </c>
      <c r="C12" s="22" t="s">
        <v>67</v>
      </c>
      <c r="D12" s="26">
        <v>40413</v>
      </c>
      <c r="E12" s="26">
        <v>40434</v>
      </c>
      <c r="F12" s="26"/>
      <c r="G12" s="26"/>
      <c r="H12" s="22">
        <f>E12-D12</f>
        <v>21</v>
      </c>
      <c r="I12" s="22">
        <v>0</v>
      </c>
      <c r="J12" s="22">
        <f t="shared" si="0"/>
        <v>21</v>
      </c>
      <c r="K12">
        <v>21</v>
      </c>
    </row>
    <row r="13" spans="1:11" x14ac:dyDescent="0.25">
      <c r="A13" s="4">
        <v>12</v>
      </c>
      <c r="B13" s="6" t="s">
        <v>11</v>
      </c>
      <c r="C13" s="22" t="s">
        <v>68</v>
      </c>
      <c r="D13" s="26">
        <v>40440</v>
      </c>
      <c r="E13" s="26">
        <v>40529</v>
      </c>
      <c r="F13" s="26"/>
      <c r="G13" s="26"/>
      <c r="H13" s="22">
        <f>E13-D13</f>
        <v>89</v>
      </c>
      <c r="I13" s="22">
        <v>0</v>
      </c>
      <c r="J13" s="22">
        <f t="shared" si="0"/>
        <v>89</v>
      </c>
      <c r="K13">
        <v>89</v>
      </c>
    </row>
    <row r="14" spans="1:11" x14ac:dyDescent="0.25">
      <c r="A14" s="4">
        <v>13</v>
      </c>
      <c r="B14" s="12" t="s">
        <v>12</v>
      </c>
      <c r="C14" s="22" t="s">
        <v>69</v>
      </c>
      <c r="D14" s="26">
        <v>40378</v>
      </c>
      <c r="E14" s="26">
        <v>40409</v>
      </c>
      <c r="F14" s="26"/>
      <c r="G14" s="26"/>
      <c r="H14" s="22">
        <f>E14-D14</f>
        <v>31</v>
      </c>
      <c r="I14" s="22">
        <v>0</v>
      </c>
      <c r="J14" s="22">
        <f t="shared" si="0"/>
        <v>31</v>
      </c>
      <c r="K14">
        <v>31</v>
      </c>
    </row>
    <row r="15" spans="1:11" x14ac:dyDescent="0.25">
      <c r="A15" s="4">
        <v>14</v>
      </c>
      <c r="B15" s="1" t="s">
        <v>13</v>
      </c>
      <c r="C15" s="22" t="s">
        <v>70</v>
      </c>
      <c r="D15" s="22"/>
      <c r="E15" s="22"/>
      <c r="F15" s="22"/>
      <c r="G15" s="22"/>
      <c r="H15" s="22">
        <v>0</v>
      </c>
      <c r="I15" s="22">
        <v>0</v>
      </c>
      <c r="J15" s="22">
        <f t="shared" si="0"/>
        <v>0</v>
      </c>
      <c r="K15">
        <v>0</v>
      </c>
    </row>
    <row r="16" spans="1:11" x14ac:dyDescent="0.25">
      <c r="A16" s="4">
        <v>17</v>
      </c>
      <c r="B16" s="11" t="s">
        <v>16</v>
      </c>
      <c r="C16" s="22" t="s">
        <v>132</v>
      </c>
      <c r="D16" s="26">
        <v>0</v>
      </c>
      <c r="E16" s="26">
        <v>0</v>
      </c>
      <c r="F16" s="26">
        <v>40452</v>
      </c>
      <c r="G16" s="26">
        <v>40472</v>
      </c>
      <c r="H16" s="22">
        <f>E16-D16</f>
        <v>0</v>
      </c>
      <c r="I16" s="22">
        <f>G16-F16</f>
        <v>20</v>
      </c>
      <c r="J16" s="22">
        <f t="shared" si="0"/>
        <v>20</v>
      </c>
      <c r="K16">
        <v>67</v>
      </c>
    </row>
    <row r="17" spans="1:11" x14ac:dyDescent="0.25">
      <c r="A17" s="4">
        <v>18</v>
      </c>
      <c r="B17" s="1" t="s">
        <v>17</v>
      </c>
      <c r="C17" s="22" t="s">
        <v>73</v>
      </c>
      <c r="D17" s="26">
        <v>40316</v>
      </c>
      <c r="E17" s="26">
        <v>40358</v>
      </c>
      <c r="F17" s="22"/>
      <c r="G17" s="22"/>
      <c r="H17" s="22">
        <f>E17-D17</f>
        <v>42</v>
      </c>
      <c r="I17" s="22">
        <v>0</v>
      </c>
      <c r="J17" s="22">
        <f t="shared" si="0"/>
        <v>42</v>
      </c>
      <c r="K17">
        <v>42</v>
      </c>
    </row>
    <row r="18" spans="1:11" x14ac:dyDescent="0.25">
      <c r="A18" s="4">
        <v>19</v>
      </c>
      <c r="B18" s="1" t="s">
        <v>18</v>
      </c>
      <c r="C18" s="22" t="s">
        <v>61</v>
      </c>
      <c r="D18" s="22"/>
      <c r="E18" s="22"/>
      <c r="F18" s="22"/>
      <c r="G18" s="22"/>
      <c r="H18" s="22"/>
      <c r="I18" s="22"/>
      <c r="J18" s="22">
        <f t="shared" si="0"/>
        <v>0</v>
      </c>
      <c r="K18">
        <v>0</v>
      </c>
    </row>
    <row r="19" spans="1:11" x14ac:dyDescent="0.25">
      <c r="A19" s="4">
        <v>20</v>
      </c>
      <c r="B19" s="5" t="s">
        <v>19</v>
      </c>
      <c r="C19" s="22" t="s">
        <v>61</v>
      </c>
      <c r="D19" s="22"/>
      <c r="E19" s="22"/>
      <c r="F19" s="22"/>
      <c r="G19" s="22"/>
      <c r="H19" s="22"/>
      <c r="I19" s="22"/>
      <c r="J19" s="22">
        <f t="shared" si="0"/>
        <v>0</v>
      </c>
      <c r="K19">
        <v>0</v>
      </c>
    </row>
    <row r="20" spans="1:11" x14ac:dyDescent="0.25">
      <c r="A20" s="4">
        <v>21</v>
      </c>
      <c r="B20" s="5" t="s">
        <v>20</v>
      </c>
      <c r="C20" s="22" t="s">
        <v>61</v>
      </c>
      <c r="D20" s="22"/>
      <c r="E20" s="22"/>
      <c r="F20" s="22"/>
      <c r="G20" s="22"/>
      <c r="H20" s="22"/>
      <c r="I20" s="22"/>
      <c r="J20" s="22">
        <f t="shared" si="0"/>
        <v>0</v>
      </c>
      <c r="K20">
        <v>0</v>
      </c>
    </row>
    <row r="21" spans="1:11" x14ac:dyDescent="0.25">
      <c r="A21" s="4">
        <v>22</v>
      </c>
      <c r="B21" s="6" t="s">
        <v>21</v>
      </c>
      <c r="C21" s="22" t="s">
        <v>61</v>
      </c>
      <c r="D21" s="22"/>
      <c r="E21" s="22"/>
      <c r="F21" s="22"/>
      <c r="G21" s="22"/>
      <c r="H21" s="22"/>
      <c r="I21" s="22"/>
      <c r="J21" s="22">
        <f t="shared" si="0"/>
        <v>0</v>
      </c>
      <c r="K21">
        <v>0</v>
      </c>
    </row>
    <row r="22" spans="1:11" x14ac:dyDescent="0.25">
      <c r="A22" s="4">
        <v>23</v>
      </c>
      <c r="B22" s="6" t="s">
        <v>22</v>
      </c>
      <c r="C22" s="22" t="s">
        <v>61</v>
      </c>
      <c r="D22" s="22"/>
      <c r="E22" s="22"/>
      <c r="F22" s="22"/>
      <c r="G22" s="22"/>
      <c r="H22" s="22"/>
      <c r="I22" s="22"/>
      <c r="J22" s="22">
        <f t="shared" si="0"/>
        <v>0</v>
      </c>
      <c r="K22">
        <v>0</v>
      </c>
    </row>
    <row r="23" spans="1:11" x14ac:dyDescent="0.25">
      <c r="A23" s="4">
        <v>24</v>
      </c>
      <c r="B23" s="6" t="s">
        <v>23</v>
      </c>
      <c r="C23" s="22" t="s">
        <v>61</v>
      </c>
      <c r="D23" s="22"/>
      <c r="E23" s="22"/>
      <c r="F23" s="22"/>
      <c r="G23" s="22"/>
      <c r="H23" s="22"/>
      <c r="I23" s="22"/>
      <c r="J23" s="22">
        <f t="shared" si="0"/>
        <v>0</v>
      </c>
      <c r="K23">
        <v>0</v>
      </c>
    </row>
    <row r="24" spans="1:11" x14ac:dyDescent="0.25">
      <c r="A24" s="4">
        <v>25</v>
      </c>
      <c r="B24" s="6" t="s">
        <v>24</v>
      </c>
      <c r="C24" s="22" t="s">
        <v>61</v>
      </c>
      <c r="D24" s="22"/>
      <c r="E24" s="22"/>
      <c r="F24" s="22"/>
      <c r="G24" s="22"/>
      <c r="H24" s="22"/>
      <c r="I24" s="22"/>
      <c r="J24" s="22">
        <f t="shared" si="0"/>
        <v>0</v>
      </c>
      <c r="K24">
        <v>0</v>
      </c>
    </row>
    <row r="25" spans="1:11" x14ac:dyDescent="0.25">
      <c r="A25" s="4">
        <v>26</v>
      </c>
      <c r="B25" s="6" t="s">
        <v>25</v>
      </c>
      <c r="C25" s="22" t="s">
        <v>61</v>
      </c>
      <c r="D25" s="22"/>
      <c r="E25" s="22"/>
      <c r="F25" s="22"/>
      <c r="G25" s="22"/>
      <c r="H25" s="22"/>
      <c r="I25" s="22"/>
      <c r="J25" s="22">
        <f t="shared" si="0"/>
        <v>0</v>
      </c>
      <c r="K25">
        <v>0</v>
      </c>
    </row>
    <row r="26" spans="1:11" x14ac:dyDescent="0.25">
      <c r="A26" s="4">
        <v>27</v>
      </c>
      <c r="B26" s="6" t="s">
        <v>26</v>
      </c>
      <c r="C26" s="22" t="s">
        <v>61</v>
      </c>
      <c r="D26" s="22"/>
      <c r="E26" s="22"/>
      <c r="F26" s="22"/>
      <c r="G26" s="22"/>
      <c r="H26" s="22"/>
      <c r="I26" s="22"/>
      <c r="J26" s="22">
        <f t="shared" si="0"/>
        <v>0</v>
      </c>
      <c r="K26">
        <v>0</v>
      </c>
    </row>
    <row r="27" spans="1:11" x14ac:dyDescent="0.25">
      <c r="A27" s="4">
        <v>28</v>
      </c>
      <c r="B27" s="6" t="s">
        <v>27</v>
      </c>
      <c r="C27" s="22" t="s">
        <v>61</v>
      </c>
      <c r="D27" s="22"/>
      <c r="E27" s="22"/>
      <c r="F27" s="22"/>
      <c r="G27" s="22"/>
      <c r="H27" s="22"/>
      <c r="I27" s="22"/>
      <c r="J27" s="22">
        <f t="shared" si="0"/>
        <v>0</v>
      </c>
      <c r="K27">
        <v>0</v>
      </c>
    </row>
    <row r="28" spans="1:11" x14ac:dyDescent="0.25">
      <c r="A28" s="4">
        <v>29</v>
      </c>
      <c r="B28" s="2" t="s">
        <v>28</v>
      </c>
      <c r="C28" s="22" t="s">
        <v>74</v>
      </c>
      <c r="D28" s="26">
        <v>40210</v>
      </c>
      <c r="E28" s="26">
        <v>40258</v>
      </c>
      <c r="F28" s="22"/>
      <c r="G28" s="22"/>
      <c r="H28" s="22">
        <f>E28-D28</f>
        <v>48</v>
      </c>
      <c r="I28" s="22"/>
      <c r="J28" s="22">
        <f t="shared" si="0"/>
        <v>48</v>
      </c>
      <c r="K28">
        <v>48</v>
      </c>
    </row>
    <row r="29" spans="1:11" x14ac:dyDescent="0.25">
      <c r="A29" s="4">
        <v>30</v>
      </c>
      <c r="B29" s="1" t="s">
        <v>29</v>
      </c>
      <c r="C29" s="22" t="s">
        <v>75</v>
      </c>
      <c r="D29" s="26">
        <v>40187</v>
      </c>
      <c r="E29" s="26">
        <v>40242</v>
      </c>
      <c r="F29" s="22"/>
      <c r="G29" s="22"/>
      <c r="H29" s="22">
        <f>E29-D29</f>
        <v>55</v>
      </c>
      <c r="I29" s="22"/>
      <c r="J29" s="22">
        <f t="shared" si="0"/>
        <v>55</v>
      </c>
      <c r="K29">
        <v>55</v>
      </c>
    </row>
    <row r="30" spans="1:11" x14ac:dyDescent="0.25">
      <c r="A30" s="4">
        <v>31</v>
      </c>
      <c r="B30" s="1" t="s">
        <v>30</v>
      </c>
      <c r="C30" s="22" t="s">
        <v>70</v>
      </c>
      <c r="D30" s="22"/>
      <c r="E30" s="22"/>
      <c r="F30" s="22"/>
      <c r="G30" s="22"/>
      <c r="H30" s="22"/>
      <c r="I30" s="22"/>
      <c r="J30" s="22">
        <f t="shared" si="0"/>
        <v>0</v>
      </c>
      <c r="K30">
        <v>0</v>
      </c>
    </row>
    <row r="31" spans="1:11" x14ac:dyDescent="0.25">
      <c r="A31" s="4">
        <v>32</v>
      </c>
      <c r="B31" s="1" t="s">
        <v>31</v>
      </c>
      <c r="C31" s="22" t="s">
        <v>76</v>
      </c>
      <c r="D31" s="26">
        <v>40488</v>
      </c>
      <c r="E31" s="26">
        <v>40543</v>
      </c>
      <c r="F31" s="22"/>
      <c r="G31" s="22"/>
      <c r="H31" s="22">
        <f>E31-D31</f>
        <v>55</v>
      </c>
      <c r="I31" s="22"/>
      <c r="J31" s="22">
        <f t="shared" si="0"/>
        <v>55</v>
      </c>
      <c r="K31">
        <v>5</v>
      </c>
    </row>
    <row r="32" spans="1:11" x14ac:dyDescent="0.25">
      <c r="A32" s="4">
        <v>33</v>
      </c>
      <c r="B32" s="1" t="s">
        <v>32</v>
      </c>
      <c r="C32" s="22" t="s">
        <v>70</v>
      </c>
      <c r="D32" s="22"/>
      <c r="E32" s="22"/>
      <c r="F32" s="22"/>
      <c r="G32" s="22"/>
      <c r="H32" s="22"/>
      <c r="I32" s="22"/>
      <c r="J32" s="22">
        <f t="shared" si="0"/>
        <v>0</v>
      </c>
      <c r="K32">
        <v>0</v>
      </c>
    </row>
    <row r="33" spans="1:11" x14ac:dyDescent="0.25">
      <c r="A33" s="4">
        <v>34</v>
      </c>
      <c r="B33" s="13" t="s">
        <v>33</v>
      </c>
      <c r="C33" s="22" t="s">
        <v>77</v>
      </c>
      <c r="D33" s="22"/>
      <c r="E33" s="22"/>
      <c r="F33" s="22"/>
      <c r="G33" s="22"/>
      <c r="H33" s="22"/>
      <c r="I33" s="22"/>
      <c r="J33" s="22">
        <f t="shared" si="0"/>
        <v>0</v>
      </c>
      <c r="K33">
        <v>0</v>
      </c>
    </row>
    <row r="34" spans="1:11" x14ac:dyDescent="0.25">
      <c r="A34" s="4">
        <v>35</v>
      </c>
      <c r="B34" s="2" t="s">
        <v>34</v>
      </c>
      <c r="C34" s="22" t="s">
        <v>78</v>
      </c>
      <c r="D34" s="26">
        <v>40360</v>
      </c>
      <c r="E34" s="26">
        <v>40421</v>
      </c>
      <c r="F34" s="22"/>
      <c r="G34" s="22"/>
      <c r="H34" s="22">
        <f>E34-D34</f>
        <v>61</v>
      </c>
      <c r="I34" s="22"/>
      <c r="J34" s="22">
        <f t="shared" si="0"/>
        <v>61</v>
      </c>
      <c r="K34">
        <v>61</v>
      </c>
    </row>
    <row r="35" spans="1:11" x14ac:dyDescent="0.25">
      <c r="A35" s="4">
        <v>36</v>
      </c>
      <c r="B35" s="1" t="s">
        <v>35</v>
      </c>
      <c r="C35" s="22" t="s">
        <v>70</v>
      </c>
      <c r="D35" s="22"/>
      <c r="E35" s="22"/>
      <c r="F35" s="22"/>
      <c r="G35" s="22"/>
      <c r="H35" s="22"/>
      <c r="I35" s="22"/>
      <c r="J35" s="22">
        <f t="shared" si="0"/>
        <v>0</v>
      </c>
      <c r="K35">
        <v>0</v>
      </c>
    </row>
    <row r="36" spans="1:11" x14ac:dyDescent="0.25">
      <c r="A36" s="4">
        <v>38</v>
      </c>
      <c r="B36" s="5" t="s">
        <v>37</v>
      </c>
      <c r="C36" s="22" t="s">
        <v>105</v>
      </c>
      <c r="D36" s="22"/>
      <c r="E36" s="22"/>
      <c r="F36" s="22"/>
      <c r="G36" s="22"/>
      <c r="H36" s="22"/>
      <c r="I36" s="22"/>
      <c r="J36" s="22">
        <f t="shared" si="0"/>
        <v>0</v>
      </c>
    </row>
    <row r="37" spans="1:11" x14ac:dyDescent="0.25">
      <c r="A37" s="4">
        <v>40</v>
      </c>
      <c r="B37" s="5" t="s">
        <v>39</v>
      </c>
      <c r="C37" s="22" t="s">
        <v>77</v>
      </c>
      <c r="D37" s="22"/>
      <c r="E37" s="22"/>
      <c r="F37" s="22"/>
      <c r="G37" s="22"/>
      <c r="H37" s="22"/>
      <c r="I37" s="22"/>
      <c r="J37" s="22">
        <f t="shared" si="0"/>
        <v>0</v>
      </c>
    </row>
    <row r="38" spans="1:11" x14ac:dyDescent="0.25">
      <c r="A38" s="4">
        <v>41</v>
      </c>
      <c r="B38" s="16" t="s">
        <v>40</v>
      </c>
      <c r="C38" s="22" t="s">
        <v>80</v>
      </c>
      <c r="D38" s="26">
        <v>40256</v>
      </c>
      <c r="E38" s="26">
        <v>40327</v>
      </c>
      <c r="F38" s="22"/>
      <c r="G38" s="22"/>
      <c r="H38" s="22">
        <f>E38-D38</f>
        <v>71</v>
      </c>
      <c r="I38" s="22"/>
      <c r="J38" s="22">
        <f t="shared" si="0"/>
        <v>71</v>
      </c>
      <c r="K38">
        <v>71</v>
      </c>
    </row>
    <row r="39" spans="1:11" x14ac:dyDescent="0.25">
      <c r="A39" s="4">
        <v>42</v>
      </c>
      <c r="B39" s="1" t="s">
        <v>41</v>
      </c>
      <c r="C39" s="22" t="s">
        <v>81</v>
      </c>
      <c r="D39" s="26">
        <v>40179</v>
      </c>
      <c r="E39" s="26">
        <v>40233</v>
      </c>
      <c r="F39" s="22"/>
      <c r="G39" s="22"/>
      <c r="H39" s="22">
        <f>E39-D39</f>
        <v>54</v>
      </c>
      <c r="I39" s="22"/>
      <c r="J39" s="22">
        <f t="shared" si="0"/>
        <v>54</v>
      </c>
      <c r="K39">
        <v>54</v>
      </c>
    </row>
    <row r="40" spans="1:11" x14ac:dyDescent="0.25">
      <c r="A40" s="4">
        <v>43</v>
      </c>
      <c r="B40" s="6" t="s">
        <v>42</v>
      </c>
      <c r="C40" s="22" t="s">
        <v>77</v>
      </c>
      <c r="D40" s="22"/>
      <c r="E40" s="22"/>
      <c r="F40" s="22"/>
      <c r="G40" s="22"/>
      <c r="H40" s="22"/>
      <c r="I40" s="22"/>
      <c r="J40" s="22">
        <f t="shared" si="0"/>
        <v>0</v>
      </c>
      <c r="K40">
        <v>0</v>
      </c>
    </row>
    <row r="41" spans="1:11" x14ac:dyDescent="0.25">
      <c r="A41" s="4">
        <v>44</v>
      </c>
      <c r="B41" s="1" t="s">
        <v>43</v>
      </c>
      <c r="C41" s="22" t="s">
        <v>82</v>
      </c>
      <c r="D41" s="26">
        <v>40179</v>
      </c>
      <c r="E41" s="26">
        <v>40231</v>
      </c>
      <c r="F41" s="26">
        <v>40360</v>
      </c>
      <c r="G41" s="26">
        <v>40371</v>
      </c>
      <c r="H41" s="22">
        <f>E41-D41</f>
        <v>52</v>
      </c>
      <c r="I41" s="22">
        <f>G41-F41</f>
        <v>11</v>
      </c>
      <c r="J41" s="22">
        <f t="shared" si="0"/>
        <v>63</v>
      </c>
      <c r="K41">
        <v>63</v>
      </c>
    </row>
    <row r="42" spans="1:11" x14ac:dyDescent="0.25">
      <c r="A42" s="4">
        <v>45</v>
      </c>
      <c r="B42" s="1" t="s">
        <v>44</v>
      </c>
      <c r="C42" s="22" t="s">
        <v>70</v>
      </c>
      <c r="D42" s="22"/>
      <c r="E42" s="22"/>
      <c r="F42" s="22"/>
      <c r="G42" s="22"/>
      <c r="H42" s="22"/>
      <c r="I42" s="22"/>
      <c r="J42" s="22">
        <f t="shared" si="0"/>
        <v>0</v>
      </c>
      <c r="K42">
        <v>0</v>
      </c>
    </row>
    <row r="43" spans="1:11" x14ac:dyDescent="0.25">
      <c r="A43" s="4">
        <v>46</v>
      </c>
      <c r="B43" s="1" t="s">
        <v>45</v>
      </c>
      <c r="C43" s="22" t="s">
        <v>70</v>
      </c>
      <c r="D43" s="22"/>
      <c r="E43" s="22"/>
      <c r="F43" s="22"/>
      <c r="G43" s="22"/>
      <c r="H43" s="22"/>
      <c r="I43" s="22"/>
      <c r="J43" s="22">
        <f t="shared" si="0"/>
        <v>0</v>
      </c>
      <c r="K43">
        <v>0</v>
      </c>
    </row>
    <row r="44" spans="1:11" x14ac:dyDescent="0.25">
      <c r="A44" s="4">
        <v>47</v>
      </c>
      <c r="B44" s="1" t="s">
        <v>46</v>
      </c>
      <c r="C44" s="22" t="s">
        <v>83</v>
      </c>
      <c r="D44" s="26">
        <v>40391</v>
      </c>
      <c r="E44" s="26">
        <v>40473</v>
      </c>
      <c r="F44" s="22"/>
      <c r="G44" s="22"/>
      <c r="H44" s="22">
        <f>E44-D44</f>
        <v>82</v>
      </c>
      <c r="I44" s="22"/>
      <c r="J44" s="22">
        <f t="shared" si="0"/>
        <v>82</v>
      </c>
      <c r="K44">
        <v>82</v>
      </c>
    </row>
    <row r="45" spans="1:11" x14ac:dyDescent="0.25">
      <c r="A45" s="4">
        <v>48</v>
      </c>
      <c r="B45" s="13" t="s">
        <v>47</v>
      </c>
      <c r="C45" s="22" t="s">
        <v>84</v>
      </c>
      <c r="D45" s="26">
        <v>40383</v>
      </c>
      <c r="E45" s="26">
        <v>40529</v>
      </c>
      <c r="F45" s="22"/>
      <c r="G45" s="22"/>
      <c r="H45" s="22">
        <f>E45-D45</f>
        <v>146</v>
      </c>
      <c r="I45" s="22"/>
      <c r="J45" s="22">
        <f t="shared" si="0"/>
        <v>146</v>
      </c>
      <c r="K45">
        <v>146</v>
      </c>
    </row>
    <row r="46" spans="1:11" x14ac:dyDescent="0.25">
      <c r="A46" s="4">
        <v>49</v>
      </c>
      <c r="B46" s="12" t="s">
        <v>48</v>
      </c>
      <c r="C46" s="22" t="s">
        <v>70</v>
      </c>
      <c r="D46" s="22"/>
      <c r="E46" s="22"/>
      <c r="F46" s="22"/>
      <c r="G46" s="22"/>
      <c r="H46" s="22"/>
      <c r="I46" s="22"/>
      <c r="J46" s="22">
        <f t="shared" si="0"/>
        <v>0</v>
      </c>
      <c r="K46">
        <v>0</v>
      </c>
    </row>
    <row r="47" spans="1:11" x14ac:dyDescent="0.25">
      <c r="A47" s="4">
        <v>50</v>
      </c>
      <c r="B47" s="1" t="s">
        <v>49</v>
      </c>
      <c r="C47" s="22" t="s">
        <v>85</v>
      </c>
      <c r="D47" s="26">
        <v>40179</v>
      </c>
      <c r="E47" s="26">
        <v>40211</v>
      </c>
      <c r="F47" s="22"/>
      <c r="G47" s="22"/>
      <c r="H47" s="22">
        <f>E47-D47</f>
        <v>32</v>
      </c>
      <c r="I47" s="22"/>
      <c r="J47" s="22">
        <f t="shared" si="0"/>
        <v>32</v>
      </c>
      <c r="K47">
        <v>32</v>
      </c>
    </row>
    <row r="48" spans="1:11" x14ac:dyDescent="0.25">
      <c r="A48" s="4">
        <v>51</v>
      </c>
      <c r="B48" s="1" t="s">
        <v>50</v>
      </c>
      <c r="C48" s="22" t="s">
        <v>70</v>
      </c>
      <c r="D48" s="22"/>
      <c r="E48" s="22"/>
      <c r="F48" s="22"/>
      <c r="G48" s="22"/>
      <c r="H48" s="22"/>
      <c r="I48" s="22"/>
      <c r="J48" s="22">
        <f t="shared" si="0"/>
        <v>0</v>
      </c>
      <c r="K48">
        <v>0</v>
      </c>
    </row>
    <row r="49" spans="1:11" x14ac:dyDescent="0.25">
      <c r="A49" s="4">
        <v>52</v>
      </c>
      <c r="B49" s="1" t="s">
        <v>51</v>
      </c>
      <c r="C49" s="22" t="s">
        <v>70</v>
      </c>
      <c r="D49" s="22"/>
      <c r="E49" s="22"/>
      <c r="F49" s="22"/>
      <c r="G49" s="22"/>
      <c r="H49" s="22"/>
      <c r="I49" s="22"/>
      <c r="J49" s="22">
        <f t="shared" si="0"/>
        <v>0</v>
      </c>
      <c r="K49">
        <v>0</v>
      </c>
    </row>
    <row r="50" spans="1:11" x14ac:dyDescent="0.25">
      <c r="A50" s="4">
        <v>53</v>
      </c>
      <c r="B50" s="6" t="s">
        <v>52</v>
      </c>
      <c r="C50" s="22" t="s">
        <v>86</v>
      </c>
      <c r="D50" s="22"/>
      <c r="E50" s="22"/>
      <c r="F50" s="22"/>
      <c r="G50" s="22"/>
      <c r="H50" s="22"/>
      <c r="I50" s="22"/>
      <c r="J50" s="22">
        <f t="shared" si="0"/>
        <v>0</v>
      </c>
      <c r="K50">
        <v>0</v>
      </c>
    </row>
    <row r="51" spans="1:11" x14ac:dyDescent="0.25">
      <c r="A51" s="4">
        <v>54</v>
      </c>
      <c r="B51" s="6" t="s">
        <v>53</v>
      </c>
      <c r="C51" s="22" t="s">
        <v>86</v>
      </c>
      <c r="D51" s="22"/>
      <c r="E51" s="22"/>
      <c r="F51" s="22"/>
      <c r="G51" s="22"/>
      <c r="H51" s="22"/>
      <c r="I51" s="22"/>
      <c r="J51" s="22">
        <f t="shared" si="0"/>
        <v>0</v>
      </c>
      <c r="K51">
        <v>0</v>
      </c>
    </row>
    <row r="52" spans="1:11" x14ac:dyDescent="0.25">
      <c r="A52" s="4">
        <v>55</v>
      </c>
      <c r="B52" s="6" t="s">
        <v>54</v>
      </c>
      <c r="C52" s="22" t="s">
        <v>86</v>
      </c>
      <c r="D52" s="22"/>
      <c r="E52" s="22"/>
      <c r="F52" s="22"/>
      <c r="G52" s="22"/>
      <c r="H52" s="22"/>
      <c r="I52" s="22"/>
      <c r="J52" s="22">
        <f t="shared" si="0"/>
        <v>0</v>
      </c>
      <c r="K52">
        <v>0</v>
      </c>
    </row>
    <row r="53" spans="1:11" x14ac:dyDescent="0.25">
      <c r="A53" s="4">
        <v>56</v>
      </c>
      <c r="B53" s="6" t="s">
        <v>55</v>
      </c>
      <c r="C53" s="22" t="s">
        <v>86</v>
      </c>
      <c r="D53" s="22"/>
      <c r="E53" s="22"/>
      <c r="F53" s="22"/>
      <c r="G53" s="22"/>
      <c r="H53" s="22"/>
      <c r="I53" s="22"/>
      <c r="J53" s="22">
        <f t="shared" si="0"/>
        <v>0</v>
      </c>
      <c r="K53">
        <v>0</v>
      </c>
    </row>
    <row r="54" spans="1:11" x14ac:dyDescent="0.25">
      <c r="A54" s="20"/>
      <c r="B54" s="21" t="s">
        <v>56</v>
      </c>
      <c r="J54">
        <f t="shared" si="0"/>
        <v>0</v>
      </c>
      <c r="K54">
        <v>0</v>
      </c>
    </row>
    <row r="55" spans="1:11" x14ac:dyDescent="0.25">
      <c r="A55" s="14"/>
      <c r="B55" s="15"/>
    </row>
    <row r="56" spans="1:11" x14ac:dyDescent="0.25">
      <c r="A56" s="8"/>
      <c r="B56" s="10"/>
    </row>
    <row r="57" spans="1:11" x14ac:dyDescent="0.25">
      <c r="A57" s="8"/>
      <c r="B57" s="10"/>
    </row>
    <row r="58" spans="1:11" x14ac:dyDescent="0.25">
      <c r="A58" s="8"/>
      <c r="B58" s="10"/>
    </row>
    <row r="59" spans="1:11" x14ac:dyDescent="0.25">
      <c r="A59" s="8"/>
      <c r="B59" s="10"/>
    </row>
    <row r="60" spans="1:11" x14ac:dyDescent="0.25">
      <c r="A60" s="4">
        <v>5</v>
      </c>
      <c r="B60" s="6" t="s">
        <v>4</v>
      </c>
      <c r="C60" s="22" t="s">
        <v>61</v>
      </c>
      <c r="D60" s="22"/>
      <c r="E60" s="22"/>
      <c r="F60" s="22"/>
      <c r="G60" s="22"/>
      <c r="H60" s="22">
        <v>0</v>
      </c>
      <c r="I60" s="22">
        <v>0</v>
      </c>
      <c r="J60" s="22">
        <f>H60+I60</f>
        <v>0</v>
      </c>
      <c r="K60">
        <v>0</v>
      </c>
    </row>
    <row r="61" spans="1:11" x14ac:dyDescent="0.25">
      <c r="A61" s="4">
        <v>37</v>
      </c>
      <c r="B61" s="1" t="s">
        <v>36</v>
      </c>
      <c r="C61" s="22" t="s">
        <v>79</v>
      </c>
      <c r="D61" s="26">
        <v>40179</v>
      </c>
      <c r="E61" s="26">
        <v>40236</v>
      </c>
      <c r="F61" s="22"/>
      <c r="G61" s="22"/>
      <c r="H61" s="22">
        <f>E61-D61</f>
        <v>57</v>
      </c>
      <c r="I61" s="22"/>
      <c r="J61" s="22">
        <f>H61+I61</f>
        <v>57</v>
      </c>
      <c r="K61">
        <v>57</v>
      </c>
    </row>
    <row r="62" spans="1:11" x14ac:dyDescent="0.25">
      <c r="A62" s="4">
        <v>39</v>
      </c>
      <c r="B62" s="5" t="s">
        <v>38</v>
      </c>
      <c r="C62" s="22" t="s">
        <v>77</v>
      </c>
      <c r="D62" s="22"/>
      <c r="E62" s="22"/>
      <c r="F62" s="22"/>
      <c r="G62" s="22"/>
      <c r="H62" s="22"/>
      <c r="I62" s="22"/>
      <c r="J62" s="22">
        <f>H62+I62</f>
        <v>0</v>
      </c>
    </row>
    <row r="63" spans="1:11" x14ac:dyDescent="0.25">
      <c r="A63" s="4">
        <v>15</v>
      </c>
      <c r="B63" s="1" t="s">
        <v>14</v>
      </c>
      <c r="C63" s="22" t="s">
        <v>70</v>
      </c>
      <c r="D63" s="22"/>
      <c r="E63" s="22"/>
      <c r="F63" s="22"/>
      <c r="G63" s="22"/>
      <c r="H63" s="22">
        <v>0</v>
      </c>
      <c r="I63" s="22">
        <v>0</v>
      </c>
      <c r="J63" s="22">
        <f>H63+I63</f>
        <v>0</v>
      </c>
      <c r="K63">
        <v>0</v>
      </c>
    </row>
    <row r="64" spans="1:11" x14ac:dyDescent="0.25">
      <c r="A64" s="4">
        <v>16</v>
      </c>
      <c r="B64" s="5" t="s">
        <v>15</v>
      </c>
      <c r="C64" s="22" t="s">
        <v>71</v>
      </c>
      <c r="D64" s="26">
        <v>40179</v>
      </c>
      <c r="E64" s="26">
        <v>40184</v>
      </c>
      <c r="F64" s="26"/>
      <c r="G64" s="26"/>
      <c r="H64" s="22">
        <v>6</v>
      </c>
      <c r="I64" s="22">
        <v>0</v>
      </c>
      <c r="J64" s="22">
        <f>H64+I64</f>
        <v>6</v>
      </c>
      <c r="K64">
        <v>6</v>
      </c>
    </row>
    <row r="65" spans="1:2" x14ac:dyDescent="0.25">
      <c r="A65" s="8"/>
      <c r="B65" s="10"/>
    </row>
  </sheetData>
  <mergeCells count="2">
    <mergeCell ref="C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Sonashi HR</cp:lastModifiedBy>
  <dcterms:created xsi:type="dcterms:W3CDTF">2012-08-04T10:04:06Z</dcterms:created>
  <dcterms:modified xsi:type="dcterms:W3CDTF">2026-03-18T12:34:40Z</dcterms:modified>
</cp:coreProperties>
</file>